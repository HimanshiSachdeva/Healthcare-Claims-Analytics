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ynasachdeva/Library/Mobile Documents/com~apple~CloudDocs/Deakin/T1 2025/MIS771 Descriptive Analytics And Visualisation/Assignments/Assignment 1/Submission/"/>
    </mc:Choice>
  </mc:AlternateContent>
  <xr:revisionPtr revIDLastSave="0" documentId="8_{4BF879D8-2524-6747-8414-A515102CFC6F}" xr6:coauthVersionLast="47" xr6:coauthVersionMax="47" xr10:uidLastSave="{00000000-0000-0000-0000-000000000000}"/>
  <bookViews>
    <workbookView xWindow="0" yWindow="0" windowWidth="28800" windowHeight="18000" activeTab="1" xr2:uid="{72CEEC09-7B01-684F-BB44-68BBC564A406}"/>
  </bookViews>
  <sheets>
    <sheet name="1.1" sheetId="1" r:id="rId1"/>
    <sheet name="1.2" sheetId="2" r:id="rId2"/>
    <sheet name="1.3" sheetId="3" r:id="rId3"/>
    <sheet name="1.4" sheetId="8" r:id="rId4"/>
    <sheet name="2.1" sheetId="5" r:id="rId5"/>
    <sheet name="2.2" sheetId="6" r:id="rId6"/>
    <sheet name="2.3" sheetId="7" r:id="rId7"/>
  </sheets>
  <definedNames>
    <definedName name="_xlnm._FilterDatabase" localSheetId="0" hidden="1">'1.1'!#REF!</definedName>
    <definedName name="_xlnm._FilterDatabase" localSheetId="1" hidden="1">'1.2'!#REF!</definedName>
    <definedName name="_xlnm._FilterDatabase" localSheetId="5" hidden="1">'2.2'!#REF!</definedName>
  </definedNames>
  <calcPr calcId="191029"/>
  <pivotCaches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4" i="2"/>
  <c r="E12" i="2"/>
  <c r="E47" i="3"/>
  <c r="E46" i="3"/>
  <c r="E45" i="3"/>
  <c r="E44" i="3"/>
  <c r="F40" i="3"/>
  <c r="F27" i="3"/>
  <c r="F30" i="3" s="1"/>
  <c r="F41" i="3" s="1"/>
  <c r="E20" i="3"/>
  <c r="E19" i="3"/>
  <c r="I18" i="3"/>
  <c r="H18" i="3"/>
  <c r="G18" i="3"/>
  <c r="F18" i="3"/>
  <c r="E18" i="3"/>
  <c r="F17" i="3"/>
  <c r="I14" i="3"/>
  <c r="F47" i="3" s="1"/>
  <c r="H14" i="3"/>
  <c r="F46" i="3" s="1"/>
  <c r="G14" i="3"/>
  <c r="F45" i="3" s="1"/>
  <c r="F14" i="3"/>
  <c r="F44" i="3" s="1"/>
  <c r="J13" i="3"/>
  <c r="J12" i="3"/>
  <c r="G28" i="6"/>
  <c r="G41" i="6" s="1"/>
  <c r="G42" i="6" s="1"/>
  <c r="G24" i="6"/>
  <c r="G29" i="6" s="1"/>
  <c r="G22" i="6"/>
  <c r="F22" i="6"/>
  <c r="D29" i="6" s="1"/>
  <c r="H23" i="7"/>
  <c r="F31" i="7" s="1"/>
  <c r="I23" i="7"/>
  <c r="I25" i="7"/>
  <c r="I29" i="7"/>
  <c r="I30" i="7"/>
  <c r="I42" i="7"/>
  <c r="I43" i="7" s="1"/>
  <c r="I44" i="7" s="1"/>
  <c r="M53" i="5"/>
  <c r="L53" i="5"/>
  <c r="M52" i="5"/>
  <c r="L52" i="5"/>
  <c r="M51" i="5"/>
  <c r="L51" i="5"/>
  <c r="M50" i="5"/>
  <c r="L50" i="5"/>
  <c r="M49" i="5"/>
  <c r="L49" i="5"/>
  <c r="M48" i="5"/>
  <c r="L48" i="5"/>
  <c r="O47" i="5"/>
  <c r="E9" i="2"/>
  <c r="E8" i="2"/>
  <c r="E13" i="2"/>
  <c r="L26" i="2"/>
  <c r="L27" i="2" s="1"/>
  <c r="L23" i="2"/>
  <c r="L19" i="2"/>
  <c r="L9" i="2"/>
  <c r="L7" i="2"/>
  <c r="K7" i="2"/>
  <c r="I14" i="2" s="1"/>
  <c r="L12" i="1"/>
  <c r="L25" i="1" s="1"/>
  <c r="L26" i="1" s="1"/>
  <c r="L8" i="1"/>
  <c r="L6" i="1"/>
  <c r="K6" i="1"/>
  <c r="I13" i="1" s="1"/>
  <c r="F58" i="3" l="1"/>
  <c r="G51" i="3"/>
  <c r="G58" i="3"/>
  <c r="H58" i="3" s="1"/>
  <c r="G53" i="3"/>
  <c r="G56" i="3"/>
  <c r="G52" i="3"/>
  <c r="G55" i="3"/>
  <c r="F51" i="3"/>
  <c r="F53" i="3"/>
  <c r="F52" i="3"/>
  <c r="F55" i="3"/>
  <c r="F56" i="3"/>
  <c r="J14" i="3"/>
  <c r="F19" i="3" s="1"/>
  <c r="G43" i="6"/>
  <c r="G44" i="6" s="1"/>
  <c r="D47" i="6" s="1"/>
  <c r="G30" i="6"/>
  <c r="D30" i="6"/>
  <c r="F30" i="7"/>
  <c r="I45" i="7"/>
  <c r="F48" i="7" s="1"/>
  <c r="I31" i="7"/>
  <c r="N51" i="5"/>
  <c r="O51" i="5" s="1"/>
  <c r="N49" i="5"/>
  <c r="O49" i="5" s="1"/>
  <c r="N52" i="5"/>
  <c r="O52" i="5" s="1"/>
  <c r="N53" i="5"/>
  <c r="O53" i="5" s="1"/>
  <c r="N48" i="5"/>
  <c r="O48" i="5" s="1"/>
  <c r="N50" i="5"/>
  <c r="O50" i="5" s="1"/>
  <c r="L28" i="2"/>
  <c r="L29" i="2" s="1"/>
  <c r="I32" i="2" s="1"/>
  <c r="L14" i="2"/>
  <c r="L13" i="2"/>
  <c r="I13" i="2"/>
  <c r="L13" i="1"/>
  <c r="I14" i="1"/>
  <c r="L14" i="1"/>
  <c r="H55" i="3" l="1"/>
  <c r="I20" i="3"/>
  <c r="O13" i="3" s="1"/>
  <c r="O20" i="3" s="1"/>
  <c r="G19" i="3"/>
  <c r="I19" i="3"/>
  <c r="O12" i="3" s="1"/>
  <c r="O19" i="3" s="1"/>
  <c r="H19" i="3"/>
  <c r="M12" i="3"/>
  <c r="M19" i="3" s="1"/>
  <c r="H56" i="3"/>
  <c r="H52" i="3"/>
  <c r="L12" i="3"/>
  <c r="L19" i="3" s="1"/>
  <c r="H53" i="3"/>
  <c r="G20" i="3"/>
  <c r="M13" i="3" s="1"/>
  <c r="M20" i="3" s="1"/>
  <c r="F20" i="3"/>
  <c r="F21" i="3" s="1"/>
  <c r="H20" i="3"/>
  <c r="N13" i="3" s="1"/>
  <c r="N20" i="3" s="1"/>
  <c r="H51" i="3"/>
  <c r="L27" i="1"/>
  <c r="L28" i="1" s="1"/>
  <c r="I31" i="1" s="1"/>
  <c r="I21" i="3" l="1"/>
  <c r="H21" i="3"/>
  <c r="G21" i="3"/>
  <c r="J21" i="3" s="1"/>
  <c r="J19" i="3"/>
  <c r="E36" i="3"/>
  <c r="N12" i="3"/>
  <c r="N19" i="3" s="1"/>
  <c r="L13" i="3"/>
  <c r="L20" i="3" s="1"/>
  <c r="J20" i="3"/>
  <c r="F31" i="3" l="1"/>
  <c r="F32" i="3" s="1"/>
  <c r="E33" i="3" s="1"/>
</calcChain>
</file>

<file path=xl/sharedStrings.xml><?xml version="1.0" encoding="utf-8"?>
<sst xmlns="http://schemas.openxmlformats.org/spreadsheetml/2006/main" count="913" uniqueCount="183">
  <si>
    <t>Private</t>
  </si>
  <si>
    <t>Not Private</t>
  </si>
  <si>
    <r>
      <t xml:space="preserve">Hypothesis Test for </t>
    </r>
    <r>
      <rPr>
        <b/>
        <sz val="10"/>
        <rFont val="Calibri"/>
        <family val="2"/>
      </rPr>
      <t>µ1 - µ2 (independent, equal variances)</t>
    </r>
  </si>
  <si>
    <t>Hypotheses</t>
  </si>
  <si>
    <t>Null Hypothesis</t>
  </si>
  <si>
    <r>
      <t>µ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- µ</t>
    </r>
    <r>
      <rPr>
        <vertAlign val="subscript"/>
        <sz val="10"/>
        <rFont val="Arial"/>
        <family val="2"/>
      </rPr>
      <t>2</t>
    </r>
  </si>
  <si>
    <t>Alternative Hypothesis</t>
  </si>
  <si>
    <t>&gt;</t>
  </si>
  <si>
    <t>Test Type</t>
  </si>
  <si>
    <t>Level of significance</t>
  </si>
  <si>
    <t>α</t>
  </si>
  <si>
    <t>Critical Region</t>
  </si>
  <si>
    <t>Degrees of Freedom</t>
  </si>
  <si>
    <t>Sample Results</t>
  </si>
  <si>
    <t>Sample 1 Data</t>
  </si>
  <si>
    <t>Sample Standard Deviation</t>
  </si>
  <si>
    <t>Sample Mean</t>
  </si>
  <si>
    <t>Sample Size</t>
  </si>
  <si>
    <t>Sample 2 Data</t>
  </si>
  <si>
    <t>Pooled Variance</t>
  </si>
  <si>
    <t>Standard Error of the Mean</t>
  </si>
  <si>
    <r>
      <t>t</t>
    </r>
    <r>
      <rPr>
        <sz val="10"/>
        <rFont val="Arial"/>
        <family val="2"/>
      </rPr>
      <t xml:space="preserve"> Sample Statistic</t>
    </r>
  </si>
  <si>
    <t>p-value</t>
  </si>
  <si>
    <t>Decision</t>
  </si>
  <si>
    <t>Payout Amount(Private)</t>
  </si>
  <si>
    <t>Payout Amount(Not Private)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</si>
  <si>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</si>
  <si>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</si>
  <si>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</si>
  <si>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</si>
  <si>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</si>
  <si>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</si>
  <si>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</si>
  <si>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</si>
  <si>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</si>
  <si>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</si>
  <si>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</si>
  <si>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</si>
  <si>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</si>
  <si>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Private Attorney(Dermatologists)</t>
  </si>
  <si>
    <t>Private Attorney(Orthopaedic surgeons)</t>
  </si>
  <si>
    <t>Representation of Private Attorney for Dermatologists</t>
  </si>
  <si>
    <t>Representation of Private Attorney for Orthopaedic surgeons</t>
  </si>
  <si>
    <r>
      <t xml:space="preserve">Hypothesis Test for </t>
    </r>
    <r>
      <rPr>
        <b/>
        <sz val="10"/>
        <rFont val="Calibri"/>
        <family val="2"/>
      </rPr>
      <t>π1 - π2</t>
    </r>
  </si>
  <si>
    <r>
      <t>π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- π</t>
    </r>
    <r>
      <rPr>
        <vertAlign val="subscript"/>
        <sz val="10"/>
        <rFont val="Arial"/>
        <family val="2"/>
      </rPr>
      <t>2</t>
    </r>
  </si>
  <si>
    <t>&lt;</t>
  </si>
  <si>
    <t>Sample Data</t>
  </si>
  <si>
    <t>Count of 'Successes'</t>
  </si>
  <si>
    <r>
      <t>Sample proportion, p</t>
    </r>
    <r>
      <rPr>
        <vertAlign val="subscript"/>
        <sz val="10"/>
        <rFont val="Arial"/>
        <family val="2"/>
      </rPr>
      <t>1</t>
    </r>
  </si>
  <si>
    <r>
      <t>Sample proportion, p</t>
    </r>
    <r>
      <rPr>
        <vertAlign val="subscript"/>
        <sz val="10"/>
        <rFont val="Arial"/>
        <family val="2"/>
      </rPr>
      <t>2</t>
    </r>
  </si>
  <si>
    <t>Pooled estimate of proportion</t>
  </si>
  <si>
    <r>
      <t>z</t>
    </r>
    <r>
      <rPr>
        <sz val="10"/>
        <rFont val="Arial"/>
        <family val="2"/>
      </rPr>
      <t xml:space="preserve"> Sample Statistic</t>
    </r>
  </si>
  <si>
    <t>Number of Private Attorney for Dermatologists</t>
  </si>
  <si>
    <t>Number of Private Attorney for Orthopaedic surgeons</t>
  </si>
  <si>
    <t>Total number of Dermatologists</t>
  </si>
  <si>
    <t>Total number of Orthopaedic surgeons</t>
  </si>
  <si>
    <t>Specialty</t>
  </si>
  <si>
    <t>Obstetricians and Gynecologists</t>
  </si>
  <si>
    <t>Orthopaedic surgeons</t>
  </si>
  <si>
    <t>Anesthesiologists</t>
  </si>
  <si>
    <t>Dermatologists</t>
  </si>
  <si>
    <t>Payout Amount(Anesthesiologists)</t>
  </si>
  <si>
    <t>Payout Amount(Dermatologists)</t>
  </si>
  <si>
    <t>Payout Amount(Obstetricians and Gynecologists)</t>
  </si>
  <si>
    <t>Payout Amount(Orthopaedic surgeons)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</si>
  <si>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</si>
  <si>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</si>
  <si>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</si>
  <si>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</si>
  <si>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</si>
  <si>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</si>
  <si>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</si>
  <si>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</si>
  <si>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</si>
  <si>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</si>
  <si>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</si>
  <si>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</si>
  <si>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</si>
  <si>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</si>
  <si>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</si>
  <si>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</si>
  <si>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Fail to reject H0</t>
  </si>
  <si>
    <t>Tukey Kramer Multiple Comparisons</t>
  </si>
  <si>
    <t>Sample</t>
  </si>
  <si>
    <t>Absolute</t>
  </si>
  <si>
    <t>Std. Error</t>
  </si>
  <si>
    <t>Critical</t>
  </si>
  <si>
    <t>Group</t>
  </si>
  <si>
    <t>Size</t>
  </si>
  <si>
    <t>Comparison</t>
  </si>
  <si>
    <t>Difference</t>
  </si>
  <si>
    <t>of Difference</t>
  </si>
  <si>
    <t>Group 1 to Group 2</t>
  </si>
  <si>
    <t>Group 1 to Group 3</t>
  </si>
  <si>
    <t>Group 1 to Group 4</t>
  </si>
  <si>
    <t>Group 2 to Group 3</t>
  </si>
  <si>
    <t>Group 2 to Group 4</t>
  </si>
  <si>
    <t>Other Data</t>
  </si>
  <si>
    <t>Group 3 to Group 4</t>
  </si>
  <si>
    <t>Numerator d.f.</t>
  </si>
  <si>
    <t>Denominator d.f.</t>
  </si>
  <si>
    <t>MSW</t>
  </si>
  <si>
    <t>Q Statistic</t>
  </si>
  <si>
    <t>Payout Amount(All other specialities for SEVERE)</t>
  </si>
  <si>
    <t>Payout Amount(Orthopaedic surgeons for SEVERE)</t>
  </si>
  <si>
    <t>Orthopaedic surgeons(SEVERE)</t>
  </si>
  <si>
    <t>All other specialities(SEVERE)</t>
  </si>
  <si>
    <t># High risk patients accpeted (Before MLR)</t>
  </si>
  <si>
    <t># High risk patients accpeted (After MLR)</t>
  </si>
  <si>
    <t>Private Attorney</t>
  </si>
  <si>
    <t>Chi-Square Test</t>
  </si>
  <si>
    <t>Observed Frequencies</t>
  </si>
  <si>
    <t>Calculations</t>
  </si>
  <si>
    <t>fo - fe</t>
  </si>
  <si>
    <t>Expected Frequencies</t>
  </si>
  <si>
    <t>(fo - fe)^2/fe</t>
  </si>
  <si>
    <t>Data</t>
  </si>
  <si>
    <t>Level of Significance</t>
  </si>
  <si>
    <t>Number of Rows</t>
  </si>
  <si>
    <t>Number of Columns</t>
  </si>
  <si>
    <t>Results</t>
  </si>
  <si>
    <t>Critical Value</t>
  </si>
  <si>
    <t>Chi-Square Test Statistic</t>
  </si>
  <si>
    <r>
      <t>p</t>
    </r>
    <r>
      <rPr>
        <sz val="11"/>
        <rFont val="Calibri"/>
        <family val="2"/>
      </rPr>
      <t>-Value</t>
    </r>
  </si>
  <si>
    <t>Expected frequency assumption</t>
  </si>
  <si>
    <t>Marascuilo Procedure</t>
  </si>
  <si>
    <t>Square Root of Critical Value</t>
  </si>
  <si>
    <t>Group Sample Proportions</t>
  </si>
  <si>
    <t>MARASCUILO TABLE</t>
  </si>
  <si>
    <t>Proportions</t>
  </si>
  <si>
    <t>Absolute Differences</t>
  </si>
  <si>
    <t>Critical Range</t>
  </si>
  <si>
    <t>| Group 1 - Group 2 |</t>
  </si>
  <si>
    <t>| Group 1 - Group 3 |</t>
  </si>
  <si>
    <t>| Group 1 - Group 4 |</t>
  </si>
  <si>
    <t>| Group 2 - Group 3 |</t>
  </si>
  <si>
    <t>| Group 2 - Group 4 |</t>
  </si>
  <si>
    <t>| Group 3 - Group 4 |</t>
  </si>
  <si>
    <t>Specialities</t>
  </si>
  <si>
    <t>Average of Payout Amount</t>
  </si>
  <si>
    <t>Column Labels</t>
  </si>
  <si>
    <t>Row Labels</t>
  </si>
  <si>
    <t>Medicare/Medicaid</t>
  </si>
  <si>
    <t>No Insurance</t>
  </si>
  <si>
    <t>Unknown</t>
  </si>
  <si>
    <t>Workers Compensation</t>
  </si>
  <si>
    <t>Grand Total</t>
  </si>
  <si>
    <t>Anova: Two-Factor Without Replication</t>
  </si>
  <si>
    <t>Rows</t>
  </si>
  <si>
    <t>Columns</t>
  </si>
  <si>
    <t>Error</t>
  </si>
  <si>
    <t>Null Hypothesis (H₀):</t>
  </si>
  <si>
    <t>H₀: μ₁ = μ₂</t>
  </si>
  <si>
    <t>Alternative Hypothesis (H₁):</t>
  </si>
  <si>
    <r>
      <t xml:space="preserve">Claimants with private attorneys receive </t>
    </r>
    <r>
      <rPr>
        <b/>
        <sz val="12"/>
        <color theme="1"/>
        <rFont val="Aptos Narrow"/>
        <family val="2"/>
        <scheme val="minor"/>
      </rPr>
      <t>higher</t>
    </r>
    <r>
      <rPr>
        <sz val="12"/>
        <color theme="1"/>
        <rFont val="Aptos Narrow"/>
        <family val="2"/>
        <scheme val="minor"/>
      </rPr>
      <t xml:space="preserve"> payouts.</t>
    </r>
  </si>
  <si>
    <r>
      <t xml:space="preserve">This is a </t>
    </r>
    <r>
      <rPr>
        <b/>
        <sz val="12"/>
        <color theme="1"/>
        <rFont val="Aptos Narrow"/>
        <family val="2"/>
        <scheme val="minor"/>
      </rPr>
      <t>one-tailed t-test</t>
    </r>
    <r>
      <rPr>
        <sz val="12"/>
        <color theme="1"/>
        <rFont val="Aptos Narrow"/>
        <family val="2"/>
        <scheme val="minor"/>
      </rPr>
      <t>.</t>
    </r>
  </si>
  <si>
    <t>HYPOTHESIS</t>
  </si>
  <si>
    <r>
      <t xml:space="preserve">There is </t>
    </r>
    <r>
      <rPr>
        <b/>
        <sz val="12"/>
        <color theme="1"/>
        <rFont val="Aptos Narrow"/>
        <scheme val="minor"/>
      </rPr>
      <t>no difference</t>
    </r>
    <r>
      <rPr>
        <sz val="12"/>
        <color theme="1"/>
        <rFont val="Aptos Narrow"/>
        <family val="2"/>
        <scheme val="minor"/>
      </rPr>
      <t xml:space="preserve"> in mean payout amounts between claimants with and without private attorneys.</t>
    </r>
  </si>
  <si>
    <r>
      <t xml:space="preserve">At </t>
    </r>
    <r>
      <rPr>
        <b/>
        <sz val="12"/>
        <color theme="1"/>
        <rFont val="Aptos Narrow"/>
        <scheme val="minor"/>
      </rPr>
      <t>5% significance level</t>
    </r>
    <r>
      <rPr>
        <sz val="12"/>
        <color theme="1"/>
        <rFont val="Aptos Narrow"/>
        <family val="2"/>
        <scheme val="minor"/>
      </rPr>
      <t xml:space="preserve">, we have </t>
    </r>
    <r>
      <rPr>
        <b/>
        <sz val="12"/>
        <color theme="1"/>
        <rFont val="Aptos Narrow"/>
        <scheme val="minor"/>
      </rPr>
      <t>sufficient evidence</t>
    </r>
    <r>
      <rPr>
        <sz val="12"/>
        <color theme="1"/>
        <rFont val="Aptos Narrow"/>
        <family val="2"/>
        <scheme val="minor"/>
      </rPr>
      <t xml:space="preserve"> to conclude that claimants with private attorneys receive </t>
    </r>
    <r>
      <rPr>
        <b/>
        <sz val="12"/>
        <color theme="1"/>
        <rFont val="Aptos Narrow"/>
        <scheme val="minor"/>
      </rPr>
      <t>higher</t>
    </r>
    <r>
      <rPr>
        <sz val="12"/>
        <color theme="1"/>
        <rFont val="Aptos Narrow"/>
        <family val="2"/>
        <scheme val="minor"/>
      </rPr>
      <t xml:space="preserve"> payouts. </t>
    </r>
  </si>
  <si>
    <t>H₀: p₁ = p₂</t>
  </si>
  <si>
    <r>
      <t>H₁: p₁ &lt; p₂</t>
    </r>
    <r>
      <rPr>
        <sz val="12"/>
        <color theme="1"/>
        <rFont val="Aptos Narrow"/>
        <family val="2"/>
        <scheme val="minor"/>
      </rPr>
      <t xml:space="preserve"> (where μ₁ = mean for "Private", μ₂ = mean for "Not Private")</t>
    </r>
  </si>
  <si>
    <r>
      <t xml:space="preserve">Representation is </t>
    </r>
    <r>
      <rPr>
        <b/>
        <sz val="12"/>
        <color theme="1"/>
        <rFont val="Aptos Narrow"/>
        <family val="2"/>
        <scheme val="minor"/>
      </rPr>
      <t>less common</t>
    </r>
    <r>
      <rPr>
        <sz val="12"/>
        <color theme="1"/>
        <rFont val="Aptos Narrow"/>
        <family val="2"/>
        <scheme val="minor"/>
      </rPr>
      <t xml:space="preserve"> in dermatologists as compared to orthopaedic surgeons</t>
    </r>
  </si>
  <si>
    <r>
      <t>H₁: μ₁ &gt; μ₂</t>
    </r>
    <r>
      <rPr>
        <sz val="12"/>
        <color theme="1"/>
        <rFont val="Aptos Narrow"/>
        <family val="2"/>
        <scheme val="minor"/>
      </rPr>
      <t xml:space="preserve">                                                                        (where μ₁ = mean for "Private", μ₂ = mean for "Not Private")</t>
    </r>
  </si>
  <si>
    <t>H₀: μ₁ = μ₂                                                                        (where μ₁ = mean for "Private", μ₂ = mean for "Not Private")</t>
  </si>
  <si>
    <r>
      <t xml:space="preserve">Representation of Private Attorney is </t>
    </r>
    <r>
      <rPr>
        <b/>
        <sz val="12"/>
        <color theme="1"/>
        <rFont val="Aptos Narrow"/>
        <scheme val="minor"/>
      </rPr>
      <t>equally common</t>
    </r>
    <r>
      <rPr>
        <sz val="12"/>
        <color theme="1"/>
        <rFont val="Aptos Narrow"/>
        <family val="2"/>
        <scheme val="minor"/>
      </rPr>
      <t xml:space="preserve"> in both specialties</t>
    </r>
  </si>
  <si>
    <r>
      <t xml:space="preserve">At </t>
    </r>
    <r>
      <rPr>
        <b/>
        <sz val="12"/>
        <color theme="1"/>
        <rFont val="Aptos Narrow"/>
        <scheme val="minor"/>
      </rPr>
      <t>5% significance level</t>
    </r>
    <r>
      <rPr>
        <sz val="12"/>
        <color theme="1"/>
        <rFont val="Aptos Narrow"/>
        <family val="2"/>
        <scheme val="minor"/>
      </rPr>
      <t xml:space="preserve">, we have </t>
    </r>
    <r>
      <rPr>
        <b/>
        <sz val="12"/>
        <color theme="1"/>
        <rFont val="Aptos Narrow"/>
        <scheme val="minor"/>
      </rPr>
      <t>insufficient evidence</t>
    </r>
    <r>
      <rPr>
        <sz val="12"/>
        <color theme="1"/>
        <rFont val="Aptos Narrow"/>
        <family val="2"/>
        <scheme val="minor"/>
      </rPr>
      <t xml:space="preserve"> to conclude that representation of Private Attorney is </t>
    </r>
    <r>
      <rPr>
        <b/>
        <sz val="12"/>
        <color theme="1"/>
        <rFont val="Aptos Narrow"/>
        <scheme val="minor"/>
      </rPr>
      <t>less common</t>
    </r>
    <r>
      <rPr>
        <sz val="12"/>
        <color theme="1"/>
        <rFont val="Aptos Narrow"/>
        <family val="2"/>
        <scheme val="minor"/>
      </rPr>
      <t xml:space="preserve"> in dermatologists as compared to orthopaedic surgeons</t>
    </r>
  </si>
  <si>
    <r>
      <t xml:space="preserve">Private attorney representation is </t>
    </r>
    <r>
      <rPr>
        <b/>
        <sz val="12"/>
        <color theme="1"/>
        <rFont val="Aptos Narrow"/>
        <scheme val="minor"/>
      </rPr>
      <t>associated</t>
    </r>
    <r>
      <rPr>
        <sz val="12"/>
        <color theme="1"/>
        <rFont val="Aptos Narrow"/>
        <family val="2"/>
        <scheme val="minor"/>
      </rPr>
      <t xml:space="preserve"> with physician specialty.</t>
    </r>
  </si>
  <si>
    <r>
      <t xml:space="preserve">Private attorney representation is </t>
    </r>
    <r>
      <rPr>
        <b/>
        <sz val="12"/>
        <color theme="1"/>
        <rFont val="Aptos Narrow"/>
        <scheme val="minor"/>
      </rPr>
      <t>independent</t>
    </r>
    <r>
      <rPr>
        <sz val="12"/>
        <color theme="1"/>
        <rFont val="Aptos Narrow"/>
        <family val="2"/>
        <scheme val="minor"/>
      </rPr>
      <t xml:space="preserve"> of physician specialty (i.e., no relationship).</t>
    </r>
  </si>
  <si>
    <r>
      <t xml:space="preserve">At </t>
    </r>
    <r>
      <rPr>
        <b/>
        <sz val="12"/>
        <color theme="1"/>
        <rFont val="Aptos Narrow"/>
        <scheme val="minor"/>
      </rPr>
      <t>5% significance level</t>
    </r>
    <r>
      <rPr>
        <sz val="12"/>
        <color theme="1"/>
        <rFont val="Aptos Narrow"/>
        <family val="2"/>
        <scheme val="minor"/>
      </rPr>
      <t xml:space="preserve">, we have </t>
    </r>
    <r>
      <rPr>
        <b/>
        <sz val="12"/>
        <color theme="1"/>
        <rFont val="Aptos Narrow"/>
        <scheme val="minor"/>
      </rPr>
      <t>sufficient evidence</t>
    </r>
    <r>
      <rPr>
        <sz val="12"/>
        <color theme="1"/>
        <rFont val="Aptos Narrow"/>
        <family val="2"/>
        <scheme val="minor"/>
      </rPr>
      <t xml:space="preserve"> to conclude that representation of Private attorney representation is </t>
    </r>
    <r>
      <rPr>
        <b/>
        <sz val="12"/>
        <color theme="1"/>
        <rFont val="Aptos Narrow"/>
        <scheme val="minor"/>
      </rPr>
      <t>associated</t>
    </r>
    <r>
      <rPr>
        <sz val="12"/>
        <color theme="1"/>
        <rFont val="Aptos Narrow"/>
        <family val="2"/>
        <scheme val="minor"/>
      </rPr>
      <t xml:space="preserve"> with physician specialty.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</si>
  <si>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mean payout is equal</t>
    </r>
    <r>
      <rPr>
        <sz val="12"/>
        <color theme="1"/>
        <rFont val="Aptos Narrow"/>
        <family val="2"/>
        <scheme val="minor"/>
      </rPr>
      <t xml:space="preserve"> across all physician specialties.</t>
    </r>
  </si>
  <si>
    <r>
      <t xml:space="preserve">At least one physician specialty has a </t>
    </r>
    <r>
      <rPr>
        <b/>
        <sz val="12"/>
        <color theme="1"/>
        <rFont val="Aptos Narrow"/>
        <family val="2"/>
        <scheme val="minor"/>
      </rPr>
      <t>different mean payout</t>
    </r>
    <r>
      <rPr>
        <sz val="12"/>
        <color theme="1"/>
        <rFont val="Aptos Narrow"/>
        <family val="2"/>
        <scheme val="minor"/>
      </rPr>
      <t>.</t>
    </r>
  </si>
  <si>
    <r>
      <t>H₀: μ₁ = μ₂ = μ₃ = μ</t>
    </r>
    <r>
      <rPr>
        <vertAlign val="subscript"/>
        <sz val="12"/>
        <color theme="1"/>
        <rFont val="Aptos Narrow (Body)"/>
      </rPr>
      <t>4</t>
    </r>
  </si>
  <si>
    <r>
      <t xml:space="preserve">At </t>
    </r>
    <r>
      <rPr>
        <b/>
        <sz val="12"/>
        <color theme="1"/>
        <rFont val="Aptos Narrow"/>
        <scheme val="minor"/>
      </rPr>
      <t>5% significance level</t>
    </r>
    <r>
      <rPr>
        <sz val="12"/>
        <color theme="1"/>
        <rFont val="Aptos Narrow"/>
        <family val="2"/>
        <scheme val="minor"/>
      </rPr>
      <t xml:space="preserve">, we have </t>
    </r>
    <r>
      <rPr>
        <b/>
        <sz val="12"/>
        <color theme="1"/>
        <rFont val="Aptos Narrow"/>
        <scheme val="minor"/>
      </rPr>
      <t>insufficient evidence</t>
    </r>
    <r>
      <rPr>
        <sz val="12"/>
        <color theme="1"/>
        <rFont val="Aptos Narrow"/>
        <family val="2"/>
        <scheme val="minor"/>
      </rPr>
      <t xml:space="preserve"> to conclude that at least one physician specialty has a </t>
    </r>
    <r>
      <rPr>
        <b/>
        <sz val="12"/>
        <color theme="1"/>
        <rFont val="Aptos Narrow"/>
        <scheme val="minor"/>
      </rPr>
      <t>different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scheme val="minor"/>
      </rPr>
      <t>mean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scheme val="minor"/>
      </rPr>
      <t>payout</t>
    </r>
    <r>
      <rPr>
        <sz val="12"/>
        <color theme="1"/>
        <rFont val="Aptos Narrow"/>
        <family val="2"/>
        <scheme val="minor"/>
      </rPr>
      <t>.</t>
    </r>
  </si>
  <si>
    <r>
      <t xml:space="preserve">Orthopaedic surgeons get </t>
    </r>
    <r>
      <rPr>
        <b/>
        <sz val="12"/>
        <color theme="1"/>
        <rFont val="Aptos Narrow"/>
        <family val="2"/>
        <scheme val="minor"/>
      </rPr>
      <t>higher</t>
    </r>
    <r>
      <rPr>
        <sz val="12"/>
        <color theme="1"/>
        <rFont val="Aptos Narrow"/>
        <family val="2"/>
        <scheme val="minor"/>
      </rPr>
      <t xml:space="preserve"> payouts for SEVERE claims as compared to all other specialities</t>
    </r>
  </si>
  <si>
    <t xml:space="preserve">No difference in payout amount of different specialities for SEVERE claims </t>
  </si>
  <si>
    <r>
      <t xml:space="preserve">At </t>
    </r>
    <r>
      <rPr>
        <b/>
        <sz val="12"/>
        <color theme="1"/>
        <rFont val="Aptos Narrow"/>
        <scheme val="minor"/>
      </rPr>
      <t>5% significance level</t>
    </r>
    <r>
      <rPr>
        <sz val="12"/>
        <color theme="1"/>
        <rFont val="Aptos Narrow"/>
        <family val="2"/>
        <scheme val="minor"/>
      </rPr>
      <t xml:space="preserve">, we have </t>
    </r>
    <r>
      <rPr>
        <b/>
        <sz val="12"/>
        <color theme="1"/>
        <rFont val="Aptos Narrow"/>
        <scheme val="minor"/>
      </rPr>
      <t>insufficient evidence</t>
    </r>
    <r>
      <rPr>
        <sz val="12"/>
        <color theme="1"/>
        <rFont val="Aptos Narrow"/>
        <family val="2"/>
        <scheme val="minor"/>
      </rPr>
      <t xml:space="preserve"> to conclude that Orthopaedic surgeons get </t>
    </r>
    <r>
      <rPr>
        <b/>
        <sz val="12"/>
        <color theme="1"/>
        <rFont val="Aptos Narrow"/>
        <scheme val="minor"/>
      </rPr>
      <t>higher</t>
    </r>
    <r>
      <rPr>
        <sz val="12"/>
        <color theme="1"/>
        <rFont val="Aptos Narrow"/>
        <family val="2"/>
        <scheme val="minor"/>
      </rPr>
      <t xml:space="preserve"> payouts for SEVERE claims as compared to all other specialities.</t>
    </r>
  </si>
  <si>
    <t>H₀: μ₁ &gt; μ₂</t>
  </si>
  <si>
    <r>
      <t xml:space="preserve">There is </t>
    </r>
    <r>
      <rPr>
        <b/>
        <sz val="12"/>
        <color theme="1"/>
        <rFont val="Aptos Narrow"/>
        <family val="2"/>
        <scheme val="minor"/>
      </rPr>
      <t>no difference</t>
    </r>
    <r>
      <rPr>
        <sz val="12"/>
        <color theme="1"/>
        <rFont val="Aptos Narrow"/>
        <family val="2"/>
        <scheme val="minor"/>
      </rPr>
      <t xml:space="preserve"> in the number of high-risk patients accepted before and after MLR.</t>
    </r>
  </si>
  <si>
    <r>
      <t xml:space="preserve">More high-risk patients were accepted </t>
    </r>
    <r>
      <rPr>
        <b/>
        <sz val="12"/>
        <color theme="1"/>
        <rFont val="Aptos Narrow"/>
        <family val="2"/>
        <scheme val="minor"/>
      </rPr>
      <t>after</t>
    </r>
    <r>
      <rPr>
        <sz val="12"/>
        <color theme="1"/>
        <rFont val="Aptos Narrow"/>
        <family val="2"/>
        <scheme val="minor"/>
      </rPr>
      <t xml:space="preserve"> MLR.</t>
    </r>
  </si>
  <si>
    <t>H₀: μ₁ &lt; μ₂</t>
  </si>
  <si>
    <r>
      <t xml:space="preserve">At </t>
    </r>
    <r>
      <rPr>
        <b/>
        <sz val="12"/>
        <color theme="1"/>
        <rFont val="Aptos Narrow"/>
        <scheme val="minor"/>
      </rPr>
      <t>5% significance level</t>
    </r>
    <r>
      <rPr>
        <sz val="12"/>
        <color theme="1"/>
        <rFont val="Aptos Narrow"/>
        <family val="2"/>
        <scheme val="minor"/>
      </rPr>
      <t xml:space="preserve">, we have </t>
    </r>
    <r>
      <rPr>
        <b/>
        <sz val="12"/>
        <color theme="1"/>
        <rFont val="Aptos Narrow"/>
        <scheme val="minor"/>
      </rPr>
      <t>insufficient evidence</t>
    </r>
    <r>
      <rPr>
        <sz val="12"/>
        <color theme="1"/>
        <rFont val="Aptos Narrow"/>
        <family val="2"/>
        <scheme val="minor"/>
      </rPr>
      <t xml:space="preserve"> to conclude that More high-risk patients were accepted after MLR.</t>
    </r>
  </si>
  <si>
    <t xml:space="preserve">Claimants with private attorneys generally received higher payouts than those without </t>
  </si>
  <si>
    <t>Insurance type alone did not have a significant effect on the payout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</si>
</sst>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0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  <font>
      <vertAlign val="subscript"/>
      <sz val="10"/>
      <name val="Arial"/>
      <family val="2"/>
    </font>
    <font>
      <sz val="10"/>
      <name val="Calibri"/>
      <family val="2"/>
    </font>
    <font>
      <i/>
      <sz val="10"/>
      <name val="Arial"/>
      <family val="2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name val="Calibri"/>
      <family val="2"/>
    </font>
    <font>
      <b/>
      <i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vertAlign val="subscript"/>
      <sz val="12"/>
      <color theme="1"/>
      <name val="Aptos Narrow (Body)"/>
    </font>
    <font>
      <b/>
      <sz val="11"/>
      <color theme="1"/>
      <name val="Aptos Narrow (Body)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B0F0"/>
      </right>
      <top style="medium">
        <color indexed="64"/>
      </top>
      <bottom style="thin">
        <color indexed="64"/>
      </bottom>
      <diagonal/>
    </border>
    <border>
      <left style="medium">
        <color rgb="FF00B0F0"/>
      </left>
      <right/>
      <top/>
      <bottom style="medium">
        <color indexed="64"/>
      </bottom>
      <diagonal/>
    </border>
    <border>
      <left/>
      <right style="medium">
        <color rgb="FF00B0F0"/>
      </right>
      <top/>
      <bottom style="medium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0.39997558519241921"/>
      </left>
      <right/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/>
      <right style="medium">
        <color theme="4" tint="0.39997558519241921"/>
      </right>
      <top style="medium">
        <color theme="4" tint="0.39997558519241921"/>
      </top>
      <bottom/>
      <diagonal/>
    </border>
    <border>
      <left style="medium">
        <color theme="4" tint="0.39997558519241921"/>
      </left>
      <right/>
      <top/>
      <bottom/>
      <diagonal/>
    </border>
    <border>
      <left/>
      <right style="medium">
        <color theme="4" tint="0.39997558519241921"/>
      </right>
      <top/>
      <bottom/>
      <diagonal/>
    </border>
    <border>
      <left style="medium">
        <color theme="4" tint="0.39997558519241921"/>
      </left>
      <right/>
      <top style="thin">
        <color indexed="64"/>
      </top>
      <bottom/>
      <diagonal/>
    </border>
    <border>
      <left style="medium">
        <color theme="4" tint="0.39997558519241921"/>
      </left>
      <right/>
      <top/>
      <bottom style="thin">
        <color indexed="64"/>
      </bottom>
      <diagonal/>
    </border>
    <border>
      <left style="medium">
        <color theme="4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4" tint="0.39997558519241921"/>
      </left>
      <right/>
      <top/>
      <bottom style="medium">
        <color theme="4" tint="0.39997558519241921"/>
      </bottom>
      <diagonal/>
    </border>
    <border>
      <left/>
      <right style="medium">
        <color theme="4" tint="0.39997558519241921"/>
      </right>
      <top/>
      <bottom style="medium">
        <color theme="4" tint="0.3999755851924192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6" fillId="0" borderId="0"/>
  </cellStyleXfs>
  <cellXfs count="18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8" xfId="1" applyBorder="1"/>
    <xf numFmtId="0" fontId="2" fillId="0" borderId="1" xfId="1" applyBorder="1" applyAlignment="1">
      <alignment horizontal="center"/>
    </xf>
    <xf numFmtId="0" fontId="3" fillId="0" borderId="9" xfId="1" applyFont="1" applyBorder="1" applyProtection="1">
      <protection locked="0"/>
    </xf>
    <xf numFmtId="0" fontId="2" fillId="3" borderId="9" xfId="1" applyFill="1" applyBorder="1" applyAlignment="1" applyProtection="1">
      <alignment horizontal="center"/>
      <protection locked="0"/>
    </xf>
    <xf numFmtId="0" fontId="3" fillId="3" borderId="9" xfId="1" applyFont="1" applyFill="1" applyBorder="1" applyProtection="1">
      <protection locked="0"/>
    </xf>
    <xf numFmtId="0" fontId="2" fillId="0" borderId="5" xfId="1" applyBorder="1"/>
    <xf numFmtId="0" fontId="2" fillId="0" borderId="6" xfId="1" applyBorder="1"/>
    <xf numFmtId="0" fontId="2" fillId="4" borderId="9" xfId="1" applyFill="1" applyBorder="1" applyAlignment="1">
      <alignment horizontal="right"/>
    </xf>
    <xf numFmtId="0" fontId="2" fillId="0" borderId="10" xfId="1" applyBorder="1"/>
    <xf numFmtId="0" fontId="2" fillId="0" borderId="0" xfId="1"/>
    <xf numFmtId="0" fontId="6" fillId="0" borderId="1" xfId="1" applyFont="1" applyBorder="1" applyAlignment="1">
      <alignment horizontal="center"/>
    </xf>
    <xf numFmtId="2" fontId="3" fillId="3" borderId="9" xfId="1" applyNumberFormat="1" applyFont="1" applyFill="1" applyBorder="1" applyProtection="1">
      <protection locked="0"/>
    </xf>
    <xf numFmtId="0" fontId="2" fillId="0" borderId="7" xfId="1" applyBorder="1"/>
    <xf numFmtId="164" fontId="2" fillId="4" borderId="11" xfId="1" applyNumberFormat="1" applyFill="1" applyBorder="1"/>
    <xf numFmtId="164" fontId="2" fillId="0" borderId="7" xfId="1" applyNumberFormat="1" applyBorder="1"/>
    <xf numFmtId="2" fontId="2" fillId="0" borderId="7" xfId="1" applyNumberFormat="1" applyBorder="1" applyProtection="1">
      <protection locked="0"/>
    </xf>
    <xf numFmtId="164" fontId="2" fillId="4" borderId="7" xfId="1" applyNumberFormat="1" applyFill="1" applyBorder="1"/>
    <xf numFmtId="0" fontId="0" fillId="0" borderId="16" xfId="0" applyBorder="1"/>
    <xf numFmtId="0" fontId="8" fillId="0" borderId="3" xfId="0" applyFont="1" applyBorder="1" applyAlignment="1">
      <alignment horizontal="center"/>
    </xf>
    <xf numFmtId="0" fontId="2" fillId="4" borderId="13" xfId="1" applyFill="1" applyBorder="1" applyAlignment="1">
      <alignment horizontal="left"/>
    </xf>
    <xf numFmtId="0" fontId="2" fillId="4" borderId="14" xfId="1" applyFill="1" applyBorder="1" applyAlignment="1">
      <alignment horizontal="left"/>
    </xf>
    <xf numFmtId="0" fontId="2" fillId="4" borderId="15" xfId="1" applyFill="1" applyBorder="1" applyAlignment="1">
      <alignment horizontal="left"/>
    </xf>
    <xf numFmtId="0" fontId="2" fillId="0" borderId="5" xfId="1" applyBorder="1" applyAlignment="1">
      <alignment horizontal="left"/>
    </xf>
    <xf numFmtId="0" fontId="2" fillId="0" borderId="6" xfId="1" applyBorder="1" applyAlignment="1">
      <alignment horizontal="left"/>
    </xf>
    <xf numFmtId="0" fontId="2" fillId="0" borderId="12" xfId="1" applyBorder="1" applyAlignment="1">
      <alignment horizontal="left"/>
    </xf>
    <xf numFmtId="0" fontId="2" fillId="0" borderId="8" xfId="1" applyBorder="1" applyAlignment="1">
      <alignment horizontal="left"/>
    </xf>
    <xf numFmtId="0" fontId="2" fillId="0" borderId="1" xfId="1" applyBorder="1" applyAlignment="1">
      <alignment horizontal="left"/>
    </xf>
    <xf numFmtId="0" fontId="7" fillId="0" borderId="8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2" fillId="0" borderId="5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7" xfId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0" borderId="5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7" xfId="1" applyFont="1" applyBorder="1" applyAlignment="1">
      <alignment horizontal="left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2" fillId="0" borderId="18" xfId="1" applyBorder="1" applyAlignment="1">
      <alignment horizontal="center"/>
    </xf>
    <xf numFmtId="0" fontId="2" fillId="0" borderId="19" xfId="1" applyBorder="1" applyAlignment="1">
      <alignment horizontal="center"/>
    </xf>
    <xf numFmtId="0" fontId="10" fillId="0" borderId="0" xfId="0" applyFont="1"/>
    <xf numFmtId="0" fontId="0" fillId="0" borderId="0" xfId="0" applyFill="1" applyBorder="1" applyAlignment="1"/>
    <xf numFmtId="0" fontId="0" fillId="0" borderId="16" xfId="0" applyFill="1" applyBorder="1" applyAlignment="1"/>
    <xf numFmtId="0" fontId="8" fillId="0" borderId="3" xfId="0" applyFont="1" applyFill="1" applyBorder="1" applyAlignment="1">
      <alignment horizontal="center"/>
    </xf>
    <xf numFmtId="0" fontId="0" fillId="0" borderId="0" xfId="0" applyBorder="1"/>
    <xf numFmtId="0" fontId="11" fillId="0" borderId="21" xfId="0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0" borderId="26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0" fillId="0" borderId="24" xfId="0" applyFill="1" applyBorder="1" applyAlignment="1"/>
    <xf numFmtId="0" fontId="0" fillId="0" borderId="25" xfId="0" applyFill="1" applyBorder="1" applyAlignment="1"/>
    <xf numFmtId="0" fontId="0" fillId="0" borderId="28" xfId="0" applyFill="1" applyBorder="1" applyAlignment="1"/>
    <xf numFmtId="0" fontId="0" fillId="0" borderId="29" xfId="0" applyFill="1" applyBorder="1" applyAlignment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3" fillId="5" borderId="33" xfId="0" applyFont="1" applyFill="1" applyBorder="1" applyAlignment="1">
      <alignment horizontal="center"/>
    </xf>
    <xf numFmtId="0" fontId="3" fillId="5" borderId="3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5" borderId="35" xfId="0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5" borderId="1" xfId="0" applyFill="1" applyBorder="1" applyProtection="1">
      <protection locked="0"/>
    </xf>
    <xf numFmtId="0" fontId="11" fillId="0" borderId="0" xfId="0" applyFont="1" applyBorder="1"/>
    <xf numFmtId="0" fontId="8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3" fillId="0" borderId="40" xfId="0" applyFont="1" applyBorder="1"/>
    <xf numFmtId="0" fontId="0" fillId="0" borderId="41" xfId="0" applyBorder="1"/>
    <xf numFmtId="0" fontId="0" fillId="0" borderId="40" xfId="0" applyBorder="1"/>
    <xf numFmtId="0" fontId="3" fillId="5" borderId="42" xfId="0" applyFont="1" applyFill="1" applyBorder="1" applyAlignment="1">
      <alignment horizontal="center"/>
    </xf>
    <xf numFmtId="0" fontId="3" fillId="5" borderId="43" xfId="0" applyFont="1" applyFill="1" applyBorder="1" applyAlignment="1">
      <alignment horizontal="center"/>
    </xf>
    <xf numFmtId="0" fontId="3" fillId="5" borderId="44" xfId="0" applyFont="1" applyFill="1" applyBorder="1" applyAlignment="1">
      <alignment horizontal="right"/>
    </xf>
    <xf numFmtId="0" fontId="0" fillId="0" borderId="44" xfId="0" applyBorder="1" applyAlignment="1">
      <alignment horizontal="center"/>
    </xf>
    <xf numFmtId="0" fontId="0" fillId="0" borderId="44" xfId="0" applyBorder="1"/>
    <xf numFmtId="0" fontId="0" fillId="5" borderId="44" xfId="0" applyFill="1" applyBorder="1"/>
    <xf numFmtId="0" fontId="0" fillId="5" borderId="44" xfId="0" applyFill="1" applyBorder="1" applyProtection="1">
      <protection locked="0"/>
    </xf>
    <xf numFmtId="0" fontId="0" fillId="0" borderId="45" xfId="0" applyBorder="1"/>
    <xf numFmtId="0" fontId="0" fillId="0" borderId="20" xfId="0" applyBorder="1"/>
    <xf numFmtId="0" fontId="0" fillId="0" borderId="46" xfId="0" applyBorder="1"/>
    <xf numFmtId="0" fontId="1" fillId="0" borderId="0" xfId="0" applyFont="1" applyAlignment="1">
      <alignment horizontal="center"/>
    </xf>
    <xf numFmtId="0" fontId="12" fillId="6" borderId="0" xfId="0" applyFont="1" applyFill="1"/>
    <xf numFmtId="164" fontId="10" fillId="0" borderId="0" xfId="0" applyNumberFormat="1" applyFont="1"/>
    <xf numFmtId="0" fontId="12" fillId="7" borderId="1" xfId="0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Protection="1">
      <protection locked="0"/>
    </xf>
    <xf numFmtId="0" fontId="10" fillId="5" borderId="17" xfId="0" applyFont="1" applyFill="1" applyBorder="1" applyAlignment="1" applyProtection="1">
      <alignment horizontal="center"/>
      <protection locked="0"/>
    </xf>
    <xf numFmtId="0" fontId="10" fillId="5" borderId="6" xfId="0" applyFont="1" applyFill="1" applyBorder="1" applyAlignment="1" applyProtection="1">
      <alignment horizontal="center"/>
      <protection locked="0"/>
    </xf>
    <xf numFmtId="0" fontId="10" fillId="5" borderId="12" xfId="0" applyFont="1" applyFill="1" applyBorder="1" applyAlignment="1" applyProtection="1">
      <alignment horizontal="center"/>
      <protection locked="0"/>
    </xf>
    <xf numFmtId="0" fontId="12" fillId="7" borderId="1" xfId="0" applyFont="1" applyFill="1" applyBorder="1" applyProtection="1">
      <protection locked="0"/>
    </xf>
    <xf numFmtId="0" fontId="10" fillId="5" borderId="1" xfId="0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center"/>
      <protection locked="0"/>
    </xf>
    <xf numFmtId="0" fontId="10" fillId="0" borderId="19" xfId="0" applyFont="1" applyBorder="1" applyAlignment="1">
      <alignment horizontal="center"/>
    </xf>
    <xf numFmtId="0" fontId="10" fillId="5" borderId="1" xfId="0" applyFont="1" applyFill="1" applyBorder="1" applyAlignment="1" applyProtection="1">
      <alignment horizontal="right"/>
      <protection locked="0"/>
    </xf>
    <xf numFmtId="0" fontId="10" fillId="5" borderId="1" xfId="0" applyFont="1" applyFill="1" applyBorder="1" applyProtection="1">
      <protection locked="0"/>
    </xf>
    <xf numFmtId="0" fontId="10" fillId="7" borderId="1" xfId="0" applyFont="1" applyFill="1" applyBorder="1" applyAlignment="1" applyProtection="1">
      <alignment horizontal="right"/>
      <protection locked="0"/>
    </xf>
    <xf numFmtId="0" fontId="10" fillId="7" borderId="1" xfId="0" applyFont="1" applyFill="1" applyBorder="1" applyAlignment="1" applyProtection="1">
      <alignment horizontal="center"/>
      <protection locked="0"/>
    </xf>
    <xf numFmtId="0" fontId="10" fillId="7" borderId="17" xfId="0" applyFont="1" applyFill="1" applyBorder="1" applyAlignment="1" applyProtection="1">
      <alignment horizontal="center"/>
      <protection locked="0"/>
    </xf>
    <xf numFmtId="0" fontId="10" fillId="7" borderId="6" xfId="0" applyFont="1" applyFill="1" applyBorder="1" applyAlignment="1" applyProtection="1">
      <alignment horizontal="center"/>
      <protection locked="0"/>
    </xf>
    <xf numFmtId="0" fontId="10" fillId="7" borderId="12" xfId="0" applyFont="1" applyFill="1" applyBorder="1" applyAlignment="1" applyProtection="1">
      <alignment horizontal="center"/>
      <protection locked="0"/>
    </xf>
    <xf numFmtId="164" fontId="10" fillId="7" borderId="1" xfId="0" applyNumberFormat="1" applyFont="1" applyFill="1" applyBorder="1" applyProtection="1">
      <protection locked="0"/>
    </xf>
    <xf numFmtId="0" fontId="12" fillId="5" borderId="1" xfId="0" applyFont="1" applyFill="1" applyBorder="1" applyAlignment="1">
      <alignment horizontal="center"/>
    </xf>
    <xf numFmtId="0" fontId="10" fillId="5" borderId="1" xfId="0" applyFont="1" applyFill="1" applyBorder="1"/>
    <xf numFmtId="0" fontId="10" fillId="0" borderId="1" xfId="0" applyFont="1" applyBorder="1"/>
    <xf numFmtId="0" fontId="12" fillId="8" borderId="1" xfId="0" applyFont="1" applyFill="1" applyBorder="1" applyAlignment="1">
      <alignment horizontal="center"/>
    </xf>
    <xf numFmtId="0" fontId="10" fillId="8" borderId="1" xfId="0" applyFont="1" applyFill="1" applyBorder="1"/>
    <xf numFmtId="164" fontId="10" fillId="8" borderId="1" xfId="0" applyNumberFormat="1" applyFont="1" applyFill="1" applyBorder="1"/>
    <xf numFmtId="0" fontId="13" fillId="8" borderId="1" xfId="0" applyFont="1" applyFill="1" applyBorder="1"/>
    <xf numFmtId="0" fontId="10" fillId="8" borderId="17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0" fontId="15" fillId="0" borderId="0" xfId="0" applyFont="1"/>
    <xf numFmtId="0" fontId="10" fillId="0" borderId="1" xfId="0" applyFont="1" applyBorder="1" applyAlignment="1">
      <alignment horizontal="center"/>
    </xf>
    <xf numFmtId="0" fontId="16" fillId="0" borderId="0" xfId="3"/>
    <xf numFmtId="0" fontId="16" fillId="0" borderId="0" xfId="3" applyAlignment="1">
      <alignment horizontal="left"/>
    </xf>
    <xf numFmtId="2" fontId="16" fillId="0" borderId="0" xfId="3" applyNumberFormat="1"/>
    <xf numFmtId="0" fontId="8" fillId="0" borderId="0" xfId="0" applyFont="1" applyBorder="1" applyAlignment="1">
      <alignment horizontal="center"/>
    </xf>
    <xf numFmtId="0" fontId="11" fillId="9" borderId="48" xfId="0" applyFont="1" applyFill="1" applyBorder="1"/>
    <xf numFmtId="0" fontId="0" fillId="10" borderId="49" xfId="0" applyFill="1" applyBorder="1"/>
    <xf numFmtId="0" fontId="0" fillId="10" borderId="47" xfId="0" applyFill="1" applyBorder="1"/>
    <xf numFmtId="0" fontId="0" fillId="10" borderId="50" xfId="0" applyFill="1" applyBorder="1"/>
    <xf numFmtId="0" fontId="0" fillId="0" borderId="51" xfId="0" applyBorder="1"/>
    <xf numFmtId="0" fontId="11" fillId="0" borderId="51" xfId="0" applyFont="1" applyBorder="1"/>
    <xf numFmtId="0" fontId="0" fillId="0" borderId="52" xfId="0" applyBorder="1"/>
    <xf numFmtId="0" fontId="0" fillId="0" borderId="53" xfId="0" applyBorder="1"/>
    <xf numFmtId="0" fontId="0" fillId="0" borderId="55" xfId="0" applyBorder="1"/>
    <xf numFmtId="0" fontId="0" fillId="0" borderId="54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8" fillId="0" borderId="51" xfId="0" applyFont="1" applyBorder="1"/>
    <xf numFmtId="0" fontId="3" fillId="2" borderId="60" xfId="1" applyFont="1" applyFill="1" applyBorder="1" applyAlignment="1">
      <alignment horizontal="center"/>
    </xf>
    <xf numFmtId="0" fontId="3" fillId="2" borderId="61" xfId="1" applyFont="1" applyFill="1" applyBorder="1" applyAlignment="1">
      <alignment horizontal="center"/>
    </xf>
    <xf numFmtId="0" fontId="3" fillId="2" borderId="62" xfId="1" applyFont="1" applyFill="1" applyBorder="1" applyAlignment="1">
      <alignment horizontal="center"/>
    </xf>
    <xf numFmtId="0" fontId="3" fillId="0" borderId="63" xfId="1" applyFont="1" applyBorder="1" applyAlignment="1">
      <alignment horizontal="center"/>
    </xf>
    <xf numFmtId="0" fontId="3" fillId="0" borderId="64" xfId="1" applyFont="1" applyBorder="1" applyAlignment="1">
      <alignment horizontal="center"/>
    </xf>
    <xf numFmtId="0" fontId="3" fillId="2" borderId="63" xfId="1" applyFont="1" applyFill="1" applyBorder="1" applyAlignment="1">
      <alignment horizontal="center"/>
    </xf>
    <xf numFmtId="0" fontId="3" fillId="2" borderId="64" xfId="1" applyFont="1" applyFill="1" applyBorder="1" applyAlignment="1">
      <alignment horizontal="center"/>
    </xf>
    <xf numFmtId="0" fontId="2" fillId="0" borderId="65" xfId="1" applyBorder="1"/>
    <xf numFmtId="9" fontId="3" fillId="0" borderId="66" xfId="2" applyFont="1" applyFill="1" applyBorder="1"/>
    <xf numFmtId="9" fontId="3" fillId="3" borderId="66" xfId="2" applyFont="1" applyFill="1" applyBorder="1"/>
    <xf numFmtId="0" fontId="2" fillId="0" borderId="63" xfId="1" applyBorder="1"/>
    <xf numFmtId="0" fontId="2" fillId="4" borderId="66" xfId="1" applyFill="1" applyBorder="1" applyAlignment="1">
      <alignment horizontal="right"/>
    </xf>
    <xf numFmtId="0" fontId="2" fillId="0" borderId="67" xfId="1" applyBorder="1"/>
    <xf numFmtId="0" fontId="2" fillId="0" borderId="0" xfId="1" applyBorder="1"/>
    <xf numFmtId="2" fontId="3" fillId="3" borderId="66" xfId="1" applyNumberFormat="1" applyFont="1" applyFill="1" applyBorder="1" applyProtection="1">
      <protection locked="0"/>
    </xf>
    <xf numFmtId="0" fontId="2" fillId="0" borderId="65" xfId="1" applyBorder="1" applyAlignment="1">
      <alignment horizontal="left"/>
    </xf>
    <xf numFmtId="164" fontId="2" fillId="4" borderId="68" xfId="1" applyNumberFormat="1" applyFill="1" applyBorder="1"/>
    <xf numFmtId="0" fontId="2" fillId="0" borderId="63" xfId="1" applyBorder="1" applyAlignment="1">
      <alignment horizontal="left"/>
    </xf>
    <xf numFmtId="164" fontId="2" fillId="0" borderId="64" xfId="1" applyNumberFormat="1" applyBorder="1"/>
    <xf numFmtId="0" fontId="3" fillId="0" borderId="63" xfId="1" applyFont="1" applyBorder="1" applyAlignment="1">
      <alignment horizontal="left"/>
    </xf>
    <xf numFmtId="0" fontId="3" fillId="0" borderId="64" xfId="1" applyFont="1" applyBorder="1" applyAlignment="1">
      <alignment horizontal="left"/>
    </xf>
    <xf numFmtId="0" fontId="3" fillId="3" borderId="66" xfId="1" applyFont="1" applyFill="1" applyBorder="1" applyProtection="1">
      <protection locked="0"/>
    </xf>
    <xf numFmtId="10" fontId="3" fillId="0" borderId="66" xfId="2" applyNumberFormat="1" applyFont="1" applyFill="1" applyBorder="1"/>
    <xf numFmtId="0" fontId="2" fillId="0" borderId="69" xfId="1" applyBorder="1" applyAlignment="1">
      <alignment horizontal="center"/>
    </xf>
    <xf numFmtId="0" fontId="2" fillId="0" borderId="68" xfId="1" applyBorder="1" applyAlignment="1">
      <alignment horizontal="center"/>
    </xf>
    <xf numFmtId="0" fontId="2" fillId="0" borderId="70" xfId="1" applyBorder="1" applyAlignment="1">
      <alignment horizontal="center"/>
    </xf>
    <xf numFmtId="0" fontId="2" fillId="0" borderId="71" xfId="1" applyBorder="1" applyAlignment="1">
      <alignment horizontal="center"/>
    </xf>
    <xf numFmtId="0" fontId="7" fillId="0" borderId="65" xfId="1" applyFont="1" applyBorder="1" applyAlignment="1">
      <alignment horizontal="left"/>
    </xf>
    <xf numFmtId="164" fontId="2" fillId="4" borderId="64" xfId="1" applyNumberFormat="1" applyFill="1" applyBorder="1"/>
    <xf numFmtId="0" fontId="2" fillId="0" borderId="63" xfId="1" applyBorder="1" applyAlignment="1">
      <alignment horizontal="center"/>
    </xf>
    <xf numFmtId="0" fontId="2" fillId="0" borderId="64" xfId="1" applyBorder="1" applyAlignment="1">
      <alignment horizontal="center"/>
    </xf>
    <xf numFmtId="0" fontId="2" fillId="4" borderId="72" xfId="1" applyFill="1" applyBorder="1" applyAlignment="1">
      <alignment horizontal="left"/>
    </xf>
    <xf numFmtId="0" fontId="2" fillId="4" borderId="73" xfId="1" applyFill="1" applyBorder="1" applyAlignment="1">
      <alignment horizontal="left"/>
    </xf>
    <xf numFmtId="0" fontId="2" fillId="4" borderId="74" xfId="1" applyFill="1" applyBorder="1" applyAlignment="1">
      <alignment horizontal="left"/>
    </xf>
    <xf numFmtId="0" fontId="0" fillId="0" borderId="56" xfId="0" applyBorder="1"/>
    <xf numFmtId="0" fontId="0" fillId="0" borderId="75" xfId="0" applyBorder="1"/>
    <xf numFmtId="0" fontId="0" fillId="0" borderId="76" xfId="0" applyBorder="1"/>
    <xf numFmtId="0" fontId="19" fillId="0" borderId="0" xfId="0" applyFont="1"/>
    <xf numFmtId="0" fontId="17" fillId="0" borderId="0" xfId="0" applyFont="1"/>
  </cellXfs>
  <cellStyles count="4">
    <cellStyle name="Normal" xfId="0" builtinId="0"/>
    <cellStyle name="Normal 2" xfId="3" xr:uid="{57CFEF62-D223-1348-8F6D-78CF87AEDB20}"/>
    <cellStyle name="Normal 3 2" xfId="1" xr:uid="{0C302B3D-D919-7A4E-8AD9-0DBA7B9FFA2A}"/>
    <cellStyle name="Percent 2" xfId="2" xr:uid="{90137DFE-FA2F-7244-895C-E86F44BCA889}"/>
  </cellStyles>
  <dxfs count="16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ynasachdeva/Library/Mobile%20Documents/com~apple~CloudDocs/Deakin/T1%202025/MIS771%20Descriptive%20Analytics%20And%20Visualisation/Assignments/Assignment%201/T12025A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yna Sachdeva" refreshedDate="45760.558949999999" createdVersion="8" refreshedVersion="8" minRefreshableVersion="3" recordCount="225" xr:uid="{72EAA963-95B8-FE49-8C9B-7F84FACCBE03}">
  <cacheSource type="worksheet">
    <worksheetSource ref="A1:I226" sheet="ClaimsData " r:id="rId2"/>
  </cacheSource>
  <cacheFields count="9">
    <cacheField name="Claimant ID" numFmtId="0">
      <sharedItems containsSemiMixedTypes="0" containsString="0" containsNumber="1" containsInteger="1" minValue="1" maxValue="225"/>
    </cacheField>
    <cacheField name="Payout Amount" numFmtId="2">
      <sharedItems containsSemiMixedTypes="0" containsString="0" containsNumber="1" minValue="1547" maxValue="228724.8"/>
    </cacheField>
    <cacheField name="Severity" numFmtId="2">
      <sharedItems/>
    </cacheField>
    <cacheField name="Age" numFmtId="0">
      <sharedItems containsSemiMixedTypes="0" containsString="0" containsNumber="1" containsInteger="1" minValue="3" maxValue="95"/>
    </cacheField>
    <cacheField name="Private Attorney" numFmtId="0">
      <sharedItems count="2">
        <s v="Private"/>
        <s v="Not Private"/>
      </sharedItems>
    </cacheField>
    <cacheField name="Marital Status" numFmtId="0">
      <sharedItems/>
    </cacheField>
    <cacheField name="Specialty" numFmtId="0">
      <sharedItems/>
    </cacheField>
    <cacheField name="Insurance" numFmtId="0">
      <sharedItems count="5">
        <s v="Unknown"/>
        <s v="Medicare/Medicaid"/>
        <s v="Private"/>
        <s v="No Insurance"/>
        <s v="Workers Compensation"/>
      </sharedItems>
    </cacheField>
    <cacheField name="Gend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n v="1"/>
    <n v="61604.84"/>
    <s v="MEDIUM"/>
    <n v="41"/>
    <x v="0"/>
    <s v="MARRIED"/>
    <s v="Obstetricians and Gynecologists"/>
    <x v="0"/>
    <s v="Female"/>
  </r>
  <r>
    <n v="2"/>
    <n v="117792"/>
    <s v="SEVERE"/>
    <n v="43"/>
    <x v="0"/>
    <s v="MARRIED"/>
    <s v="Orthopaedic surgeons"/>
    <x v="0"/>
    <s v="Female"/>
  </r>
  <r>
    <n v="3"/>
    <n v="92642.1"/>
    <s v="SEVERE"/>
    <n v="49"/>
    <x v="1"/>
    <s v="DIVORCED"/>
    <s v="Orthopaedic surgeons"/>
    <x v="1"/>
    <s v="Female"/>
  </r>
  <r>
    <n v="4"/>
    <n v="99113.71"/>
    <s v="SEVERE"/>
    <n v="72"/>
    <x v="0"/>
    <s v="MARRIED"/>
    <s v="Anesthesiologists"/>
    <x v="1"/>
    <s v="Female"/>
  </r>
  <r>
    <n v="5"/>
    <n v="78075.19"/>
    <s v="MEDIUM"/>
    <n v="48"/>
    <x v="0"/>
    <s v="DIVORCED"/>
    <s v="Anesthesiologists"/>
    <x v="2"/>
    <s v="Female"/>
  </r>
  <r>
    <n v="6"/>
    <n v="83381"/>
    <s v="SEVERE"/>
    <n v="52"/>
    <x v="0"/>
    <s v="SINGLE"/>
    <s v="Orthopaedic surgeons"/>
    <x v="2"/>
    <s v="Female"/>
  </r>
  <r>
    <n v="7"/>
    <n v="57280.38"/>
    <s v="MEDIUM"/>
    <n v="47"/>
    <x v="1"/>
    <s v="SINGLE"/>
    <s v="Anesthesiologists"/>
    <x v="3"/>
    <s v="Female"/>
  </r>
  <r>
    <n v="8"/>
    <n v="7800"/>
    <s v="MILD"/>
    <n v="74"/>
    <x v="1"/>
    <s v="DIVORCED"/>
    <s v="Orthopaedic surgeons"/>
    <x v="1"/>
    <s v="Male"/>
  </r>
  <r>
    <n v="9"/>
    <n v="16400"/>
    <s v="MILD"/>
    <n v="39"/>
    <x v="0"/>
    <s v="DIVORCED"/>
    <s v="Anesthesiologists"/>
    <x v="0"/>
    <s v="Male"/>
  </r>
  <r>
    <n v="10"/>
    <n v="60116.24"/>
    <s v="MEDIUM"/>
    <n v="72"/>
    <x v="0"/>
    <s v="MARRIED"/>
    <s v="Anesthesiologists"/>
    <x v="3"/>
    <s v="Female"/>
  </r>
  <r>
    <n v="11"/>
    <n v="80618.97"/>
    <s v="MEDIUM"/>
    <n v="48"/>
    <x v="0"/>
    <s v="DIVORCED"/>
    <s v="Anesthesiologists"/>
    <x v="0"/>
    <s v="Female"/>
  </r>
  <r>
    <n v="12"/>
    <n v="75555.820000000007"/>
    <s v="MEDIUM"/>
    <n v="67"/>
    <x v="1"/>
    <s v="DIVORCED"/>
    <s v="Obstetricians and Gynecologists"/>
    <x v="2"/>
    <s v="Female"/>
  </r>
  <r>
    <n v="13"/>
    <n v="62204.22"/>
    <s v="MEDIUM"/>
    <n v="36"/>
    <x v="0"/>
    <s v="MARRIED"/>
    <s v="Orthopaedic surgeons"/>
    <x v="0"/>
    <s v="Female"/>
  </r>
  <r>
    <n v="14"/>
    <n v="101124.96"/>
    <s v="SEVERE"/>
    <n v="28"/>
    <x v="0"/>
    <s v="WIDOWED"/>
    <s v="Obstetricians and Gynecologists"/>
    <x v="2"/>
    <s v="Female"/>
  </r>
  <r>
    <n v="15"/>
    <n v="68361.55"/>
    <s v="MEDIUM"/>
    <n v="50"/>
    <x v="0"/>
    <s v="MARRIED"/>
    <s v="Orthopaedic surgeons"/>
    <x v="2"/>
    <s v="Male"/>
  </r>
  <r>
    <n v="16"/>
    <n v="60043.21"/>
    <s v="MEDIUM"/>
    <n v="50"/>
    <x v="0"/>
    <s v="DIVORCED"/>
    <s v="Anesthesiologists"/>
    <x v="0"/>
    <s v="Female"/>
  </r>
  <r>
    <n v="17"/>
    <n v="79921.48"/>
    <s v="MEDIUM"/>
    <n v="41"/>
    <x v="0"/>
    <s v="DIVORCED"/>
    <s v="Dermatologists"/>
    <x v="4"/>
    <s v="Female"/>
  </r>
  <r>
    <n v="18"/>
    <n v="91231.33"/>
    <s v="MILD"/>
    <n v="3"/>
    <x v="1"/>
    <s v="SINGLE"/>
    <s v="Obstetricians and Gynecologists"/>
    <x v="2"/>
    <s v="Female"/>
  </r>
  <r>
    <n v="19"/>
    <n v="49006.61"/>
    <s v="MEDIUM"/>
    <n v="20"/>
    <x v="0"/>
    <s v="SINGLE"/>
    <s v="Anesthesiologists"/>
    <x v="2"/>
    <s v="Male"/>
  </r>
  <r>
    <n v="20"/>
    <n v="76018.990000000005"/>
    <s v="MEDIUM"/>
    <n v="50"/>
    <x v="0"/>
    <s v="MARRIED"/>
    <s v="Obstetricians and Gynecologists"/>
    <x v="2"/>
    <s v="Female"/>
  </r>
  <r>
    <n v="21"/>
    <n v="60402.53"/>
    <s v="MEDIUM"/>
    <n v="50"/>
    <x v="0"/>
    <s v="DIVORCED"/>
    <s v="Anesthesiologists"/>
    <x v="2"/>
    <s v="Female"/>
  </r>
  <r>
    <n v="22"/>
    <n v="48047.24"/>
    <s v="MILD"/>
    <n v="35"/>
    <x v="1"/>
    <s v="MARRIED"/>
    <s v="Dermatologists"/>
    <x v="2"/>
    <s v="Female"/>
  </r>
  <r>
    <n v="23"/>
    <n v="2100"/>
    <s v="MILD"/>
    <n v="18"/>
    <x v="0"/>
    <s v="SINGLE"/>
    <s v="Anesthesiologists"/>
    <x v="3"/>
    <s v="Female"/>
  </r>
  <r>
    <n v="24"/>
    <n v="105530"/>
    <s v="SEVERE"/>
    <n v="49"/>
    <x v="1"/>
    <s v="DIVORCED"/>
    <s v="Orthopaedic surgeons"/>
    <x v="1"/>
    <s v="Female"/>
  </r>
  <r>
    <n v="25"/>
    <n v="82754.929999999993"/>
    <s v="MEDIUM"/>
    <n v="44"/>
    <x v="0"/>
    <s v="MARRIED"/>
    <s v="Anesthesiologists"/>
    <x v="0"/>
    <s v="Female"/>
  </r>
  <r>
    <n v="26"/>
    <n v="80150.240000000005"/>
    <s v="MEDIUM"/>
    <n v="39"/>
    <x v="0"/>
    <s v="DIVORCED"/>
    <s v="Obstetricians and Gynecologists"/>
    <x v="2"/>
    <s v="Female"/>
  </r>
  <r>
    <n v="27"/>
    <n v="102578"/>
    <s v="SEVERE"/>
    <n v="33"/>
    <x v="0"/>
    <s v="DIVORCED"/>
    <s v="Orthopaedic surgeons"/>
    <x v="2"/>
    <s v="Male"/>
  </r>
  <r>
    <n v="28"/>
    <n v="80645.279999999999"/>
    <s v="MEDIUM"/>
    <n v="5"/>
    <x v="0"/>
    <s v="SINGLE"/>
    <s v="Dermatologists"/>
    <x v="2"/>
    <s v="Female"/>
  </r>
  <r>
    <n v="29"/>
    <n v="74239.759999999995"/>
    <s v="MEDIUM"/>
    <n v="49"/>
    <x v="0"/>
    <s v="DIVORCED"/>
    <s v="Anesthesiologists"/>
    <x v="2"/>
    <s v="Female"/>
  </r>
  <r>
    <n v="30"/>
    <n v="46529.36"/>
    <s v="MILD"/>
    <n v="47"/>
    <x v="0"/>
    <s v="DIVORCED"/>
    <s v="Orthopaedic surgeons"/>
    <x v="0"/>
    <s v="Male"/>
  </r>
  <r>
    <n v="31"/>
    <n v="228724.8"/>
    <s v="SEVERE"/>
    <n v="36"/>
    <x v="0"/>
    <s v="SINGLE"/>
    <s v="Anesthesiologists"/>
    <x v="3"/>
    <s v="Female"/>
  </r>
  <r>
    <n v="32"/>
    <n v="58759.67"/>
    <s v="MEDIUM"/>
    <n v="31"/>
    <x v="0"/>
    <s v="MARRIED"/>
    <s v="Anesthesiologists"/>
    <x v="1"/>
    <s v="Male"/>
  </r>
  <r>
    <n v="33"/>
    <n v="95394"/>
    <s v="MILD"/>
    <n v="30"/>
    <x v="0"/>
    <s v="WIDOWED"/>
    <s v="Obstetricians and Gynecologists"/>
    <x v="3"/>
    <s v="Female"/>
  </r>
  <r>
    <n v="34"/>
    <n v="69990.8"/>
    <s v="MEDIUM"/>
    <n v="56"/>
    <x v="0"/>
    <s v="DIVORCED"/>
    <s v="Orthopaedic surgeons"/>
    <x v="3"/>
    <s v="Female"/>
  </r>
  <r>
    <n v="35"/>
    <n v="101448.45"/>
    <s v="SEVERE"/>
    <n v="25"/>
    <x v="1"/>
    <s v="DIVORCED"/>
    <s v="Orthopaedic surgeons"/>
    <x v="2"/>
    <s v="Female"/>
  </r>
  <r>
    <n v="36"/>
    <n v="114683"/>
    <s v="SEVERE"/>
    <n v="50"/>
    <x v="0"/>
    <s v="MARRIED"/>
    <s v="Orthopaedic surgeons"/>
    <x v="0"/>
    <s v="Male"/>
  </r>
  <r>
    <n v="37"/>
    <n v="67424.460000000006"/>
    <s v="MEDIUM"/>
    <n v="14"/>
    <x v="1"/>
    <s v="SINGLE"/>
    <s v="Dermatologists"/>
    <x v="2"/>
    <s v="Male"/>
  </r>
  <r>
    <n v="38"/>
    <n v="96612.94"/>
    <s v="SEVERE"/>
    <n v="45"/>
    <x v="0"/>
    <s v="MARRIED"/>
    <s v="Anesthesiologists"/>
    <x v="2"/>
    <s v="Male"/>
  </r>
  <r>
    <n v="39"/>
    <n v="89477.66"/>
    <s v="MILD"/>
    <n v="64"/>
    <x v="0"/>
    <s v="MARRIED"/>
    <s v="Anesthesiologists"/>
    <x v="0"/>
    <s v="Female"/>
  </r>
  <r>
    <n v="40"/>
    <n v="89719.360000000001"/>
    <s v="SEVERE"/>
    <n v="33"/>
    <x v="0"/>
    <s v="DIVORCED"/>
    <s v="Orthopaedic surgeons"/>
    <x v="2"/>
    <s v="Male"/>
  </r>
  <r>
    <n v="41"/>
    <n v="64883.76"/>
    <s v="MEDIUM"/>
    <n v="37"/>
    <x v="1"/>
    <s v="MARRIED"/>
    <s v="Dermatologists"/>
    <x v="2"/>
    <s v="Female"/>
  </r>
  <r>
    <n v="42"/>
    <n v="99257.74"/>
    <s v="SEVERE"/>
    <n v="45"/>
    <x v="0"/>
    <s v="DIVORCED"/>
    <s v="Anesthesiologists"/>
    <x v="2"/>
    <s v="Female"/>
  </r>
  <r>
    <n v="43"/>
    <n v="85823.15"/>
    <s v="MEDIUM"/>
    <n v="39"/>
    <x v="0"/>
    <s v="DIVORCED"/>
    <s v="Orthopaedic surgeons"/>
    <x v="2"/>
    <s v="Female"/>
  </r>
  <r>
    <n v="44"/>
    <n v="67459.039999999994"/>
    <s v="MEDIUM"/>
    <n v="33"/>
    <x v="0"/>
    <s v="DIVORCED"/>
    <s v="Anesthesiologists"/>
    <x v="1"/>
    <s v="Male"/>
  </r>
  <r>
    <n v="45"/>
    <n v="99286"/>
    <s v="SEVERE"/>
    <n v="27"/>
    <x v="1"/>
    <s v="MARRIED"/>
    <s v="Orthopaedic surgeons"/>
    <x v="2"/>
    <s v="Female"/>
  </r>
  <r>
    <n v="46"/>
    <n v="86446.49"/>
    <s v="SEVERE"/>
    <n v="52"/>
    <x v="0"/>
    <s v="SINGLE"/>
    <s v="Orthopaedic surgeons"/>
    <x v="2"/>
    <s v="Male"/>
  </r>
  <r>
    <n v="47"/>
    <n v="70723.05"/>
    <s v="MEDIUM"/>
    <n v="27"/>
    <x v="0"/>
    <s v="DIVORCED"/>
    <s v="Orthopaedic surgeons"/>
    <x v="0"/>
    <s v="Female"/>
  </r>
  <r>
    <n v="48"/>
    <n v="67909.52"/>
    <s v="MEDIUM"/>
    <n v="36"/>
    <x v="0"/>
    <s v="WIDOWED"/>
    <s v="Anesthesiologists"/>
    <x v="0"/>
    <s v="Male"/>
  </r>
  <r>
    <n v="49"/>
    <n v="59627.97"/>
    <s v="MEDIUM"/>
    <n v="20"/>
    <x v="1"/>
    <s v="SINGLE"/>
    <s v="Dermatologists"/>
    <x v="0"/>
    <s v="Female"/>
  </r>
  <r>
    <n v="50"/>
    <n v="84561.600000000006"/>
    <s v="MEDIUM"/>
    <n v="64"/>
    <x v="0"/>
    <s v="SINGLE"/>
    <s v="Anesthesiologists"/>
    <x v="0"/>
    <s v="Female"/>
  </r>
  <r>
    <n v="51"/>
    <n v="91713.03"/>
    <s v="SEVERE"/>
    <n v="37"/>
    <x v="0"/>
    <s v="SINGLE"/>
    <s v="Anesthesiologists"/>
    <x v="2"/>
    <s v="Female"/>
  </r>
  <r>
    <n v="52"/>
    <n v="84954.87"/>
    <s v="MEDIUM"/>
    <n v="44"/>
    <x v="0"/>
    <s v="MARRIED"/>
    <s v="Anesthesiologists"/>
    <x v="0"/>
    <s v="Female"/>
  </r>
  <r>
    <n v="53"/>
    <n v="98834.87"/>
    <s v="SEVERE"/>
    <n v="45"/>
    <x v="1"/>
    <s v="WIDOWED"/>
    <s v="Obstetricians and Gynecologists"/>
    <x v="0"/>
    <s v="Female"/>
  </r>
  <r>
    <n v="54"/>
    <n v="98196.77"/>
    <s v="SEVERE"/>
    <n v="61"/>
    <x v="0"/>
    <s v="DIVORCED"/>
    <s v="Anesthesiologists"/>
    <x v="2"/>
    <s v="Female"/>
  </r>
  <r>
    <n v="55"/>
    <n v="62189.67"/>
    <s v="MEDIUM"/>
    <n v="44"/>
    <x v="0"/>
    <s v="DIVORCED"/>
    <s v="Anesthesiologists"/>
    <x v="1"/>
    <s v="Male"/>
  </r>
  <r>
    <n v="56"/>
    <n v="55020.28"/>
    <s v="MEDIUM"/>
    <n v="44"/>
    <x v="1"/>
    <s v="MARRIED"/>
    <s v="Orthopaedic surgeons"/>
    <x v="2"/>
    <s v="Female"/>
  </r>
  <r>
    <n v="57"/>
    <n v="5400"/>
    <s v="MILD"/>
    <n v="51"/>
    <x v="1"/>
    <s v="DIVORCED"/>
    <s v="Dermatologists"/>
    <x v="2"/>
    <s v="Male"/>
  </r>
  <r>
    <n v="58"/>
    <n v="74757.45"/>
    <s v="MEDIUM"/>
    <n v="48"/>
    <x v="1"/>
    <s v="DIVORCED"/>
    <s v="Orthopaedic surgeons"/>
    <x v="3"/>
    <s v="Male"/>
  </r>
  <r>
    <n v="59"/>
    <n v="74862.600000000006"/>
    <s v="MEDIUM"/>
    <n v="50"/>
    <x v="0"/>
    <s v="DIVORCED"/>
    <s v="Anesthesiologists"/>
    <x v="0"/>
    <s v="Female"/>
  </r>
  <r>
    <n v="60"/>
    <n v="81113.22"/>
    <s v="MEDIUM"/>
    <n v="41"/>
    <x v="0"/>
    <s v="SINGLE"/>
    <s v="Anesthesiologists"/>
    <x v="0"/>
    <s v="Female"/>
  </r>
  <r>
    <n v="61"/>
    <n v="72380.429999999993"/>
    <s v="MEDIUM"/>
    <n v="52"/>
    <x v="1"/>
    <s v="MARRIED"/>
    <s v="Dermatologists"/>
    <x v="4"/>
    <s v="Female"/>
  </r>
  <r>
    <n v="62"/>
    <n v="97036.92"/>
    <s v="SEVERE"/>
    <n v="51"/>
    <x v="0"/>
    <s v="MARRIED"/>
    <s v="Dermatologists"/>
    <x v="2"/>
    <s v="Female"/>
  </r>
  <r>
    <n v="63"/>
    <n v="58518.39"/>
    <s v="MEDIUM"/>
    <n v="46"/>
    <x v="0"/>
    <s v="MARRIED"/>
    <s v="Anesthesiologists"/>
    <x v="0"/>
    <s v="Female"/>
  </r>
  <r>
    <n v="64"/>
    <n v="83373.899999999994"/>
    <s v="MEDIUM"/>
    <n v="62"/>
    <x v="0"/>
    <s v="DIVORCED"/>
    <s v="Obstetricians and Gynecologists"/>
    <x v="2"/>
    <s v="Female"/>
  </r>
  <r>
    <n v="65"/>
    <n v="69782.820000000007"/>
    <s v="MEDIUM"/>
    <n v="37"/>
    <x v="0"/>
    <s v="DIVORCED"/>
    <s v="Anesthesiologists"/>
    <x v="0"/>
    <s v="Female"/>
  </r>
  <r>
    <n v="66"/>
    <n v="110269"/>
    <s v="SEVERE"/>
    <n v="71"/>
    <x v="0"/>
    <s v="MARRIED"/>
    <s v="Orthopaedic surgeons"/>
    <x v="0"/>
    <s v="Female"/>
  </r>
  <r>
    <n v="67"/>
    <n v="5400"/>
    <s v="MILD"/>
    <n v="38"/>
    <x v="1"/>
    <s v="DIVORCED"/>
    <s v="Orthopaedic surgeons"/>
    <x v="0"/>
    <s v="Female"/>
  </r>
  <r>
    <n v="68"/>
    <n v="89959.28"/>
    <s v="SEVERE"/>
    <n v="43"/>
    <x v="0"/>
    <s v="MARRIED"/>
    <s v="Orthopaedic surgeons"/>
    <x v="0"/>
    <s v="Male"/>
  </r>
  <r>
    <n v="69"/>
    <n v="74289.09"/>
    <s v="MEDIUM"/>
    <n v="45"/>
    <x v="1"/>
    <s v="MARRIED"/>
    <s v="Orthopaedic surgeons"/>
    <x v="2"/>
    <s v="Male"/>
  </r>
  <r>
    <n v="70"/>
    <n v="69082.429999999993"/>
    <s v="MEDIUM"/>
    <n v="43"/>
    <x v="1"/>
    <s v="MARRIED"/>
    <s v="Dermatologists"/>
    <x v="2"/>
    <s v="Male"/>
  </r>
  <r>
    <n v="71"/>
    <n v="99495.25"/>
    <s v="SEVERE"/>
    <n v="25"/>
    <x v="1"/>
    <s v="DIVORCED"/>
    <s v="Orthopaedic surgeons"/>
    <x v="2"/>
    <s v="Male"/>
  </r>
  <r>
    <n v="72"/>
    <n v="72533.47"/>
    <s v="MEDIUM"/>
    <n v="36"/>
    <x v="0"/>
    <s v="MARRIED"/>
    <s v="Dermatologists"/>
    <x v="2"/>
    <s v="Female"/>
  </r>
  <r>
    <n v="73"/>
    <n v="53218.22"/>
    <s v="MEDIUM"/>
    <n v="42"/>
    <x v="0"/>
    <s v="MARRIED"/>
    <s v="Obstetricians and Gynecologists"/>
    <x v="0"/>
    <s v="Female"/>
  </r>
  <r>
    <n v="74"/>
    <n v="51905.62"/>
    <s v="MEDIUM"/>
    <n v="48"/>
    <x v="0"/>
    <s v="DIVORCED"/>
    <s v="Dermatologists"/>
    <x v="2"/>
    <s v="Male"/>
  </r>
  <r>
    <n v="75"/>
    <n v="55547.3"/>
    <s v="MEDIUM"/>
    <n v="24"/>
    <x v="0"/>
    <s v="DIVORCED"/>
    <s v="Anesthesiologists"/>
    <x v="1"/>
    <s v="Female"/>
  </r>
  <r>
    <n v="76"/>
    <n v="83638.13"/>
    <s v="MEDIUM"/>
    <n v="32"/>
    <x v="0"/>
    <s v="MARRIED"/>
    <s v="Obstetricians and Gynecologists"/>
    <x v="2"/>
    <s v="Female"/>
  </r>
  <r>
    <n v="77"/>
    <n v="75827.710000000006"/>
    <s v="MEDIUM"/>
    <n v="59"/>
    <x v="0"/>
    <s v="SINGLE"/>
    <s v="Dermatologists"/>
    <x v="2"/>
    <s v="Female"/>
  </r>
  <r>
    <n v="78"/>
    <n v="68732.52"/>
    <s v="MEDIUM"/>
    <n v="14"/>
    <x v="1"/>
    <s v="SINGLE"/>
    <s v="Dermatologists"/>
    <x v="2"/>
    <s v="Male"/>
  </r>
  <r>
    <n v="79"/>
    <n v="119075"/>
    <s v="SEVERE"/>
    <n v="38"/>
    <x v="1"/>
    <s v="MARRIED"/>
    <s v="Orthopaedic surgeons"/>
    <x v="2"/>
    <s v="Male"/>
  </r>
  <r>
    <n v="80"/>
    <n v="65426.85"/>
    <s v="MEDIUM"/>
    <n v="36"/>
    <x v="1"/>
    <s v="DIVORCED"/>
    <s v="Anesthesiologists"/>
    <x v="2"/>
    <s v="Female"/>
  </r>
  <r>
    <n v="81"/>
    <n v="39788.74"/>
    <s v="MILD"/>
    <n v="68"/>
    <x v="0"/>
    <s v="MARRIED"/>
    <s v="Anesthesiologists"/>
    <x v="1"/>
    <s v="Female"/>
  </r>
  <r>
    <n v="82"/>
    <n v="73617.33"/>
    <s v="MEDIUM"/>
    <n v="43"/>
    <x v="1"/>
    <s v="MARRIED"/>
    <s v="Obstetricians and Gynecologists"/>
    <x v="0"/>
    <s v="Female"/>
  </r>
  <r>
    <n v="83"/>
    <n v="52909.23"/>
    <s v="MEDIUM"/>
    <n v="27"/>
    <x v="0"/>
    <s v="SINGLE"/>
    <s v="Orthopaedic surgeons"/>
    <x v="0"/>
    <s v="Female"/>
  </r>
  <r>
    <n v="84"/>
    <n v="72572.41"/>
    <s v="MEDIUM"/>
    <n v="78"/>
    <x v="1"/>
    <s v="MARRIED"/>
    <s v="Anesthesiologists"/>
    <x v="2"/>
    <s v="Male"/>
  </r>
  <r>
    <n v="85"/>
    <n v="94873"/>
    <s v="SEVERE"/>
    <n v="43"/>
    <x v="0"/>
    <s v="MARRIED"/>
    <s v="Orthopaedic surgeons"/>
    <x v="0"/>
    <s v="Male"/>
  </r>
  <r>
    <n v="86"/>
    <n v="85983.79"/>
    <s v="MEDIUM"/>
    <n v="38"/>
    <x v="0"/>
    <s v="DIVORCED"/>
    <s v="Orthopaedic surgeons"/>
    <x v="2"/>
    <s v="Female"/>
  </r>
  <r>
    <n v="87"/>
    <n v="85765.56"/>
    <s v="MEDIUM"/>
    <n v="7"/>
    <x v="0"/>
    <s v="SINGLE"/>
    <s v="Dermatologists"/>
    <x v="1"/>
    <s v="Female"/>
  </r>
  <r>
    <n v="88"/>
    <n v="70518.600000000006"/>
    <s v="MEDIUM"/>
    <n v="33"/>
    <x v="0"/>
    <s v="MARRIED"/>
    <s v="Orthopaedic surgeons"/>
    <x v="2"/>
    <s v="Male"/>
  </r>
  <r>
    <n v="89"/>
    <n v="24600"/>
    <s v="MILD"/>
    <n v="15"/>
    <x v="1"/>
    <s v="SINGLE"/>
    <s v="Dermatologists"/>
    <x v="0"/>
    <s v="Female"/>
  </r>
  <r>
    <n v="90"/>
    <n v="1547"/>
    <s v="MILD"/>
    <n v="59"/>
    <x v="1"/>
    <s v="SINGLE"/>
    <s v="Dermatologists"/>
    <x v="0"/>
    <s v="Female"/>
  </r>
  <r>
    <n v="91"/>
    <n v="111772"/>
    <s v="SEVERE"/>
    <n v="38"/>
    <x v="1"/>
    <s v="MARRIED"/>
    <s v="Orthopaedic surgeons"/>
    <x v="2"/>
    <s v="Female"/>
  </r>
  <r>
    <n v="92"/>
    <n v="81217.259999999995"/>
    <s v="MEDIUM"/>
    <n v="68"/>
    <x v="1"/>
    <s v="DIVORCED"/>
    <s v="Anesthesiologists"/>
    <x v="2"/>
    <s v="Male"/>
  </r>
  <r>
    <n v="93"/>
    <n v="18204"/>
    <s v="MILD"/>
    <n v="53"/>
    <x v="1"/>
    <s v="DIVORCED"/>
    <s v="Anesthesiologists"/>
    <x v="0"/>
    <s v="Female"/>
  </r>
  <r>
    <n v="94"/>
    <n v="67699.600000000006"/>
    <s v="MEDIUM"/>
    <n v="57"/>
    <x v="0"/>
    <s v="DIVORCED"/>
    <s v="Anesthesiologists"/>
    <x v="1"/>
    <s v="Male"/>
  </r>
  <r>
    <n v="95"/>
    <n v="72480.289999999994"/>
    <s v="MEDIUM"/>
    <n v="51"/>
    <x v="0"/>
    <s v="DIVORCED"/>
    <s v="Obstetricians and Gynecologists"/>
    <x v="2"/>
    <s v="Female"/>
  </r>
  <r>
    <n v="96"/>
    <n v="82667.25"/>
    <s v="MEDIUM"/>
    <n v="76"/>
    <x v="0"/>
    <s v="SINGLE"/>
    <s v="Orthopaedic surgeons"/>
    <x v="4"/>
    <s v="Female"/>
  </r>
  <r>
    <n v="97"/>
    <n v="67742.17"/>
    <s v="MEDIUM"/>
    <n v="67"/>
    <x v="0"/>
    <s v="SINGLE"/>
    <s v="Orthopaedic surgeons"/>
    <x v="2"/>
    <s v="Female"/>
  </r>
  <r>
    <n v="98"/>
    <n v="78267.839999999997"/>
    <s v="MEDIUM"/>
    <n v="37"/>
    <x v="0"/>
    <s v="MARRIED"/>
    <s v="Dermatologists"/>
    <x v="2"/>
    <s v="Male"/>
  </r>
  <r>
    <n v="99"/>
    <n v="189470.43"/>
    <s v="SEVERE"/>
    <n v="63"/>
    <x v="0"/>
    <s v="SINGLE"/>
    <s v="Orthopaedic surgeons"/>
    <x v="2"/>
    <s v="Female"/>
  </r>
  <r>
    <n v="100"/>
    <n v="62497.17"/>
    <s v="MEDIUM"/>
    <n v="47"/>
    <x v="1"/>
    <s v="SINGLE"/>
    <s v="Dermatologists"/>
    <x v="0"/>
    <s v="Female"/>
  </r>
  <r>
    <n v="101"/>
    <n v="109151.46"/>
    <s v="SEVERE"/>
    <n v="54"/>
    <x v="0"/>
    <s v="WIDOWED"/>
    <s v="Anesthesiologists"/>
    <x v="3"/>
    <s v="Male"/>
  </r>
  <r>
    <n v="102"/>
    <n v="88260.18"/>
    <s v="SEVERE"/>
    <n v="51"/>
    <x v="0"/>
    <s v="WIDOWED"/>
    <s v="Anesthesiologists"/>
    <x v="0"/>
    <s v="Female"/>
  </r>
  <r>
    <n v="103"/>
    <n v="73344.75"/>
    <s v="MEDIUM"/>
    <n v="34"/>
    <x v="0"/>
    <s v="WIDOWED"/>
    <s v="Orthopaedic surgeons"/>
    <x v="2"/>
    <s v="Female"/>
  </r>
  <r>
    <n v="104"/>
    <n v="77552.22"/>
    <s v="MEDIUM"/>
    <n v="57"/>
    <x v="0"/>
    <s v="MARRIED"/>
    <s v="Anesthesiologists"/>
    <x v="0"/>
    <s v="Female"/>
  </r>
  <r>
    <n v="105"/>
    <n v="84462.27"/>
    <s v="MEDIUM"/>
    <n v="41"/>
    <x v="0"/>
    <s v="MARRIED"/>
    <s v="Orthopaedic surgeons"/>
    <x v="2"/>
    <s v="Female"/>
  </r>
  <r>
    <n v="106"/>
    <n v="92892.21"/>
    <s v="SEVERE"/>
    <n v="13"/>
    <x v="0"/>
    <s v="SINGLE"/>
    <s v="Dermatologists"/>
    <x v="0"/>
    <s v="Male"/>
  </r>
  <r>
    <n v="107"/>
    <n v="98825.1"/>
    <s v="SEVERE"/>
    <n v="78"/>
    <x v="0"/>
    <s v="MARRIED"/>
    <s v="Dermatologists"/>
    <x v="2"/>
    <s v="Male"/>
  </r>
  <r>
    <n v="108"/>
    <n v="50903.67"/>
    <s v="MEDIUM"/>
    <n v="37"/>
    <x v="1"/>
    <s v="SINGLE"/>
    <s v="Dermatologists"/>
    <x v="3"/>
    <s v="Male"/>
  </r>
  <r>
    <n v="109"/>
    <n v="82422"/>
    <s v="SEVERE"/>
    <n v="50"/>
    <x v="0"/>
    <s v="MARRIED"/>
    <s v="Orthopaedic surgeons"/>
    <x v="0"/>
    <s v="Male"/>
  </r>
  <r>
    <n v="110"/>
    <n v="99683.25"/>
    <s v="SEVERE"/>
    <n v="25"/>
    <x v="1"/>
    <s v="DIVORCED"/>
    <s v="Orthopaedic surgeons"/>
    <x v="2"/>
    <s v="Female"/>
  </r>
  <r>
    <n v="111"/>
    <n v="91720.04"/>
    <s v="SEVERE"/>
    <n v="53"/>
    <x v="0"/>
    <s v="DIVORCED"/>
    <s v="Anesthesiologists"/>
    <x v="2"/>
    <s v="Female"/>
  </r>
  <r>
    <n v="112"/>
    <n v="87713.8"/>
    <s v="SEVERE"/>
    <n v="14"/>
    <x v="0"/>
    <s v="SINGLE"/>
    <s v="Obstetricians and Gynecologists"/>
    <x v="2"/>
    <s v="Female"/>
  </r>
  <r>
    <n v="113"/>
    <n v="91178.240000000005"/>
    <s v="SEVERE"/>
    <n v="87"/>
    <x v="0"/>
    <s v="DIVORCED"/>
    <s v="Dermatologists"/>
    <x v="0"/>
    <s v="Female"/>
  </r>
  <r>
    <n v="114"/>
    <n v="104102.54"/>
    <s v="SEVERE"/>
    <n v="43"/>
    <x v="0"/>
    <s v="MARRIED"/>
    <s v="Orthopaedic surgeons"/>
    <x v="0"/>
    <s v="Female"/>
  </r>
  <r>
    <n v="115"/>
    <n v="61285.279999999999"/>
    <s v="MEDIUM"/>
    <n v="30"/>
    <x v="0"/>
    <s v="MARRIED"/>
    <s v="Anesthesiologists"/>
    <x v="2"/>
    <s v="Male"/>
  </r>
  <r>
    <n v="116"/>
    <n v="92241.04"/>
    <s v="SEVERE"/>
    <n v="60"/>
    <x v="0"/>
    <s v="MARRIED"/>
    <s v="Obstetricians and Gynecologists"/>
    <x v="4"/>
    <s v="Female"/>
  </r>
  <r>
    <n v="117"/>
    <n v="84730.66"/>
    <s v="MEDIUM"/>
    <n v="50"/>
    <x v="1"/>
    <s v="MARRIED"/>
    <s v="Anesthesiologists"/>
    <x v="0"/>
    <s v="Female"/>
  </r>
  <r>
    <n v="118"/>
    <n v="122600"/>
    <s v="SEVERE"/>
    <n v="33"/>
    <x v="0"/>
    <s v="DIVORCED"/>
    <s v="Orthopaedic surgeons"/>
    <x v="2"/>
    <s v="Male"/>
  </r>
  <r>
    <n v="119"/>
    <n v="107402.73"/>
    <s v="SEVERE"/>
    <n v="33"/>
    <x v="0"/>
    <s v="MARRIED"/>
    <s v="Anesthesiologists"/>
    <x v="3"/>
    <s v="Female"/>
  </r>
  <r>
    <n v="120"/>
    <n v="22000"/>
    <s v="MILD"/>
    <n v="55"/>
    <x v="1"/>
    <s v="DIVORCED"/>
    <s v="Orthopaedic surgeons"/>
    <x v="2"/>
    <s v="Male"/>
  </r>
  <r>
    <n v="121"/>
    <n v="114258.47"/>
    <s v="SEVERE"/>
    <n v="14"/>
    <x v="1"/>
    <s v="SINGLE"/>
    <s v="Anesthesiologists"/>
    <x v="2"/>
    <s v="Male"/>
  </r>
  <r>
    <n v="122"/>
    <n v="62819.39"/>
    <s v="MEDIUM"/>
    <n v="17"/>
    <x v="0"/>
    <s v="SINGLE"/>
    <s v="Orthopaedic surgeons"/>
    <x v="2"/>
    <s v="Female"/>
  </r>
  <r>
    <n v="123"/>
    <n v="63652.13"/>
    <s v="MEDIUM"/>
    <n v="57"/>
    <x v="0"/>
    <s v="DIVORCED"/>
    <s v="Anesthesiologists"/>
    <x v="0"/>
    <s v="Female"/>
  </r>
  <r>
    <n v="124"/>
    <n v="10101"/>
    <s v="MILD"/>
    <n v="55"/>
    <x v="0"/>
    <s v="DIVORCED"/>
    <s v="Obstetricians and Gynecologists"/>
    <x v="2"/>
    <s v="Female"/>
  </r>
  <r>
    <n v="125"/>
    <n v="63110.45"/>
    <s v="MEDIUM"/>
    <n v="71"/>
    <x v="0"/>
    <s v="WIDOWED"/>
    <s v="Orthopaedic surgeons"/>
    <x v="0"/>
    <s v="Male"/>
  </r>
  <r>
    <n v="126"/>
    <n v="68853.27"/>
    <s v="MEDIUM"/>
    <n v="37"/>
    <x v="0"/>
    <s v="MARRIED"/>
    <s v="Dermatologists"/>
    <x v="2"/>
    <s v="Female"/>
  </r>
  <r>
    <n v="127"/>
    <n v="64900.77"/>
    <s v="MEDIUM"/>
    <n v="35"/>
    <x v="0"/>
    <s v="DIVORCED"/>
    <s v="Anesthesiologists"/>
    <x v="1"/>
    <s v="Female"/>
  </r>
  <r>
    <n v="128"/>
    <n v="81806.59"/>
    <s v="SEVERE"/>
    <n v="30"/>
    <x v="0"/>
    <s v="MARRIED"/>
    <s v="Anesthesiologists"/>
    <x v="2"/>
    <s v="Male"/>
  </r>
  <r>
    <n v="129"/>
    <n v="195526.04"/>
    <s v="SEVERE"/>
    <n v="56"/>
    <x v="0"/>
    <s v="WIDOWED"/>
    <s v="Anesthesiologists"/>
    <x v="2"/>
    <s v="Male"/>
  </r>
  <r>
    <n v="130"/>
    <n v="69921.78"/>
    <s v="MEDIUM"/>
    <n v="81"/>
    <x v="1"/>
    <s v="MARRIED"/>
    <s v="Orthopaedic surgeons"/>
    <x v="2"/>
    <s v="Male"/>
  </r>
  <r>
    <n v="131"/>
    <n v="81617.78"/>
    <s v="SEVERE"/>
    <n v="38"/>
    <x v="0"/>
    <s v="DIVORCED"/>
    <s v="Dermatologists"/>
    <x v="2"/>
    <s v="Male"/>
  </r>
  <r>
    <n v="132"/>
    <n v="46192.639999999999"/>
    <s v="MEDIUM"/>
    <n v="61"/>
    <x v="1"/>
    <s v="MARRIED"/>
    <s v="Anesthesiologists"/>
    <x v="2"/>
    <s v="Female"/>
  </r>
  <r>
    <n v="133"/>
    <n v="91222.51"/>
    <s v="SEVERE"/>
    <n v="47"/>
    <x v="0"/>
    <s v="MARRIED"/>
    <s v="Anesthesiologists"/>
    <x v="1"/>
    <s v="Male"/>
  </r>
  <r>
    <n v="134"/>
    <n v="72570.34"/>
    <s v="MEDIUM"/>
    <n v="51"/>
    <x v="0"/>
    <s v="MARRIED"/>
    <s v="Obstetricians and Gynecologists"/>
    <x v="3"/>
    <s v="Female"/>
  </r>
  <r>
    <n v="135"/>
    <n v="67330.8"/>
    <s v="MEDIUM"/>
    <n v="12"/>
    <x v="0"/>
    <s v="SINGLE"/>
    <s v="Dermatologists"/>
    <x v="2"/>
    <s v="Female"/>
  </r>
  <r>
    <n v="136"/>
    <n v="66938.75"/>
    <s v="MEDIUM"/>
    <n v="4"/>
    <x v="0"/>
    <s v="SINGLE"/>
    <s v="Anesthesiologists"/>
    <x v="2"/>
    <s v="Male"/>
  </r>
  <r>
    <n v="137"/>
    <n v="3456"/>
    <s v="MILD"/>
    <n v="59"/>
    <x v="1"/>
    <s v="MARRIED"/>
    <s v="Anesthesiologists"/>
    <x v="1"/>
    <s v="Female"/>
  </r>
  <r>
    <n v="138"/>
    <n v="68279.94"/>
    <s v="MEDIUM"/>
    <n v="30"/>
    <x v="0"/>
    <s v="DIVORCED"/>
    <s v="Anesthesiologists"/>
    <x v="0"/>
    <s v="Female"/>
  </r>
  <r>
    <n v="139"/>
    <n v="102748.96"/>
    <s v="SEVERE"/>
    <n v="77"/>
    <x v="0"/>
    <s v="WIDOWED"/>
    <s v="Dermatologists"/>
    <x v="0"/>
    <s v="Male"/>
  </r>
  <r>
    <n v="140"/>
    <n v="53869.97"/>
    <s v="MEDIUM"/>
    <n v="49"/>
    <x v="0"/>
    <s v="DIVORCED"/>
    <s v="Anesthesiologists"/>
    <x v="1"/>
    <s v="Female"/>
  </r>
  <r>
    <n v="141"/>
    <n v="68678.490000000005"/>
    <s v="MEDIUM"/>
    <n v="43"/>
    <x v="0"/>
    <s v="MARRIED"/>
    <s v="Orthopaedic surgeons"/>
    <x v="2"/>
    <s v="Male"/>
  </r>
  <r>
    <n v="142"/>
    <n v="77969.039999999994"/>
    <s v="MEDIUM"/>
    <n v="30"/>
    <x v="1"/>
    <s v="WIDOWED"/>
    <s v="Orthopaedic surgeons"/>
    <x v="2"/>
    <s v="Male"/>
  </r>
  <r>
    <n v="143"/>
    <n v="92547.6"/>
    <s v="SEVERE"/>
    <n v="31"/>
    <x v="0"/>
    <s v="SINGLE"/>
    <s v="Anesthesiologists"/>
    <x v="3"/>
    <s v="Male"/>
  </r>
  <r>
    <n v="144"/>
    <n v="34252.97"/>
    <s v="MILD"/>
    <n v="15"/>
    <x v="1"/>
    <s v="SINGLE"/>
    <s v="Orthopaedic surgeons"/>
    <x v="2"/>
    <s v="Female"/>
  </r>
  <r>
    <n v="145"/>
    <n v="43382.38"/>
    <s v="MEDIUM"/>
    <n v="28"/>
    <x v="1"/>
    <s v="MARRIED"/>
    <s v="Anesthesiologists"/>
    <x v="0"/>
    <s v="Male"/>
  </r>
  <r>
    <n v="146"/>
    <n v="68562.02"/>
    <s v="MEDIUM"/>
    <n v="10"/>
    <x v="0"/>
    <s v="SINGLE"/>
    <s v="Anesthesiologists"/>
    <x v="2"/>
    <s v="Female"/>
  </r>
  <r>
    <n v="147"/>
    <n v="109343.01"/>
    <s v="SEVERE"/>
    <n v="50"/>
    <x v="0"/>
    <s v="MARRIED"/>
    <s v="Dermatologists"/>
    <x v="0"/>
    <s v="Female"/>
  </r>
  <r>
    <n v="148"/>
    <n v="123433"/>
    <s v="SEVERE"/>
    <n v="63"/>
    <x v="0"/>
    <s v="SINGLE"/>
    <s v="Orthopaedic surgeons"/>
    <x v="2"/>
    <s v="Female"/>
  </r>
  <r>
    <n v="149"/>
    <n v="148904.06"/>
    <s v="SEVERE"/>
    <n v="34"/>
    <x v="0"/>
    <s v="WIDOWED"/>
    <s v="Dermatologists"/>
    <x v="0"/>
    <s v="Male"/>
  </r>
  <r>
    <n v="150"/>
    <n v="217600.83"/>
    <s v="SEVERE"/>
    <n v="6"/>
    <x v="0"/>
    <s v="SINGLE"/>
    <s v="Dermatologists"/>
    <x v="2"/>
    <s v="Male"/>
  </r>
  <r>
    <n v="151"/>
    <n v="25084.89"/>
    <s v="MILD"/>
    <n v="22"/>
    <x v="1"/>
    <s v="MARRIED"/>
    <s v="Dermatologists"/>
    <x v="0"/>
    <s v="Male"/>
  </r>
  <r>
    <n v="152"/>
    <n v="45155.17"/>
    <s v="MEDIUM"/>
    <n v="48"/>
    <x v="1"/>
    <s v="SINGLE"/>
    <s v="Orthopaedic surgeons"/>
    <x v="2"/>
    <s v="Female"/>
  </r>
  <r>
    <n v="153"/>
    <n v="57068.28"/>
    <s v="MEDIUM"/>
    <n v="34"/>
    <x v="0"/>
    <s v="MARRIED"/>
    <s v="Obstetricians and Gynecologists"/>
    <x v="0"/>
    <s v="Female"/>
  </r>
  <r>
    <n v="154"/>
    <n v="73224.179999999993"/>
    <s v="MEDIUM"/>
    <n v="88"/>
    <x v="1"/>
    <s v="MARRIED"/>
    <s v="Dermatologists"/>
    <x v="3"/>
    <s v="Female"/>
  </r>
  <r>
    <n v="155"/>
    <n v="43119.28"/>
    <s v="MEDIUM"/>
    <n v="33"/>
    <x v="1"/>
    <s v="SINGLE"/>
    <s v="Orthopaedic surgeons"/>
    <x v="2"/>
    <s v="Male"/>
  </r>
  <r>
    <n v="156"/>
    <n v="99282.01"/>
    <s v="SEVERE"/>
    <n v="59"/>
    <x v="0"/>
    <s v="WIDOWED"/>
    <s v="Anesthesiologists"/>
    <x v="3"/>
    <s v="Male"/>
  </r>
  <r>
    <n v="157"/>
    <n v="61312.44"/>
    <s v="MEDIUM"/>
    <n v="34"/>
    <x v="0"/>
    <s v="DIVORCED"/>
    <s v="Dermatologists"/>
    <x v="0"/>
    <s v="Female"/>
  </r>
  <r>
    <n v="158"/>
    <n v="110240"/>
    <s v="SEVERE"/>
    <n v="49"/>
    <x v="1"/>
    <s v="DIVORCED"/>
    <s v="Orthopaedic surgeons"/>
    <x v="1"/>
    <s v="Male"/>
  </r>
  <r>
    <n v="159"/>
    <n v="123268.21"/>
    <s v="SEVERE"/>
    <n v="27"/>
    <x v="1"/>
    <s v="MARRIED"/>
    <s v="Orthopaedic surgeons"/>
    <x v="2"/>
    <s v="Female"/>
  </r>
  <r>
    <n v="160"/>
    <n v="83606.91"/>
    <s v="MEDIUM"/>
    <n v="35"/>
    <x v="0"/>
    <s v="MARRIED"/>
    <s v="Dermatologists"/>
    <x v="2"/>
    <s v="Female"/>
  </r>
  <r>
    <n v="161"/>
    <n v="2400"/>
    <s v="MILD"/>
    <n v="48"/>
    <x v="1"/>
    <s v="DIVORCED"/>
    <s v="Obstetricians and Gynecologists"/>
    <x v="2"/>
    <s v="Female"/>
  </r>
  <r>
    <n v="162"/>
    <n v="61540.4"/>
    <s v="MEDIUM"/>
    <n v="40"/>
    <x v="1"/>
    <s v="DIVORCED"/>
    <s v="Anesthesiologists"/>
    <x v="3"/>
    <s v="Male"/>
  </r>
  <r>
    <n v="163"/>
    <n v="101453.21"/>
    <s v="SEVERE"/>
    <n v="61"/>
    <x v="0"/>
    <s v="WIDOWED"/>
    <s v="Dermatologists"/>
    <x v="2"/>
    <s v="Male"/>
  </r>
  <r>
    <n v="164"/>
    <n v="113486"/>
    <s v="SEVERE"/>
    <n v="52"/>
    <x v="0"/>
    <s v="SINGLE"/>
    <s v="Orthopaedic surgeons"/>
    <x v="2"/>
    <s v="Male"/>
  </r>
  <r>
    <n v="165"/>
    <n v="66027"/>
    <s v="MEDIUM"/>
    <n v="62"/>
    <x v="0"/>
    <s v="DIVORCED"/>
    <s v="Orthopaedic surgeons"/>
    <x v="0"/>
    <s v="Male"/>
  </r>
  <r>
    <n v="166"/>
    <n v="49307.93"/>
    <s v="MILD"/>
    <n v="61"/>
    <x v="1"/>
    <s v="DIVORCED"/>
    <s v="Anesthesiologists"/>
    <x v="2"/>
    <s v="Male"/>
  </r>
  <r>
    <n v="167"/>
    <n v="60285.49"/>
    <s v="MEDIUM"/>
    <n v="57"/>
    <x v="1"/>
    <s v="MARRIED"/>
    <s v="Dermatologists"/>
    <x v="0"/>
    <s v="Female"/>
  </r>
  <r>
    <n v="168"/>
    <n v="68527.86"/>
    <s v="MEDIUM"/>
    <n v="51"/>
    <x v="1"/>
    <s v="MARRIED"/>
    <s v="Anesthesiologists"/>
    <x v="2"/>
    <s v="Female"/>
  </r>
  <r>
    <n v="169"/>
    <n v="85350.66"/>
    <s v="MEDIUM"/>
    <n v="39"/>
    <x v="0"/>
    <s v="MARRIED"/>
    <s v="Orthopaedic surgeons"/>
    <x v="1"/>
    <s v="Female"/>
  </r>
  <r>
    <n v="170"/>
    <n v="73985.41"/>
    <s v="MEDIUM"/>
    <n v="28"/>
    <x v="0"/>
    <s v="DIVORCED"/>
    <s v="Anesthesiologists"/>
    <x v="0"/>
    <s v="Female"/>
  </r>
  <r>
    <n v="171"/>
    <n v="80162.899999999994"/>
    <s v="MEDIUM"/>
    <n v="55"/>
    <x v="0"/>
    <s v="DIVORCED"/>
    <s v="Dermatologists"/>
    <x v="0"/>
    <s v="Female"/>
  </r>
  <r>
    <n v="172"/>
    <n v="2300"/>
    <s v="MILD"/>
    <n v="57"/>
    <x v="0"/>
    <s v="DIVORCED"/>
    <s v="Anesthesiologists"/>
    <x v="0"/>
    <s v="Female"/>
  </r>
  <r>
    <n v="173"/>
    <n v="77412.63"/>
    <s v="MEDIUM"/>
    <n v="15"/>
    <x v="1"/>
    <s v="SINGLE"/>
    <s v="Orthopaedic surgeons"/>
    <x v="0"/>
    <s v="Female"/>
  </r>
  <r>
    <n v="174"/>
    <n v="71558.03"/>
    <s v="SEVERE"/>
    <n v="56"/>
    <x v="0"/>
    <s v="SINGLE"/>
    <s v="Anesthesiologists"/>
    <x v="2"/>
    <s v="Male"/>
  </r>
  <r>
    <n v="175"/>
    <n v="116063"/>
    <s v="SEVERE"/>
    <n v="27"/>
    <x v="1"/>
    <s v="MARRIED"/>
    <s v="Orthopaedic surgeons"/>
    <x v="2"/>
    <s v="Female"/>
  </r>
  <r>
    <n v="176"/>
    <n v="83754.64"/>
    <s v="MEDIUM"/>
    <n v="28"/>
    <x v="0"/>
    <s v="DIVORCED"/>
    <s v="Orthopaedic surgeons"/>
    <x v="2"/>
    <s v="Female"/>
  </r>
  <r>
    <n v="177"/>
    <n v="59354.54"/>
    <s v="MEDIUM"/>
    <n v="44"/>
    <x v="0"/>
    <s v="MARRIED"/>
    <s v="Anesthesiologists"/>
    <x v="0"/>
    <s v="Female"/>
  </r>
  <r>
    <n v="178"/>
    <n v="64876.49"/>
    <s v="MEDIUM"/>
    <n v="23"/>
    <x v="1"/>
    <s v="DIVORCED"/>
    <s v="Dermatologists"/>
    <x v="2"/>
    <s v="Male"/>
  </r>
  <r>
    <n v="179"/>
    <n v="75161.289999999994"/>
    <s v="MEDIUM"/>
    <n v="95"/>
    <x v="0"/>
    <s v="DIVORCED"/>
    <s v="Anesthesiologists"/>
    <x v="2"/>
    <s v="Male"/>
  </r>
  <r>
    <n v="180"/>
    <n v="6300"/>
    <s v="MILD"/>
    <n v="33"/>
    <x v="1"/>
    <s v="DIVORCED"/>
    <s v="Anesthesiologists"/>
    <x v="2"/>
    <s v="Female"/>
  </r>
  <r>
    <n v="181"/>
    <n v="5678"/>
    <s v="MILD"/>
    <n v="76"/>
    <x v="1"/>
    <s v="MARRIED"/>
    <s v="Anesthesiologists"/>
    <x v="4"/>
    <s v="Male"/>
  </r>
  <r>
    <n v="182"/>
    <n v="79079.05"/>
    <s v="MEDIUM"/>
    <n v="74"/>
    <x v="1"/>
    <s v="MARRIED"/>
    <s v="Dermatologists"/>
    <x v="2"/>
    <s v="Female"/>
  </r>
  <r>
    <n v="183"/>
    <n v="92864"/>
    <s v="SEVERE"/>
    <n v="43"/>
    <x v="0"/>
    <s v="MARRIED"/>
    <s v="Orthopaedic surgeons"/>
    <x v="0"/>
    <s v="Female"/>
  </r>
  <r>
    <n v="184"/>
    <n v="71054.23"/>
    <s v="MEDIUM"/>
    <n v="37"/>
    <x v="0"/>
    <s v="WIDOWED"/>
    <s v="Anesthesiologists"/>
    <x v="2"/>
    <s v="Female"/>
  </r>
  <r>
    <n v="185"/>
    <n v="107121"/>
    <s v="SEVERE"/>
    <n v="25"/>
    <x v="1"/>
    <s v="DIVORCED"/>
    <s v="Orthopaedic surgeons"/>
    <x v="2"/>
    <s v="Female"/>
  </r>
  <r>
    <n v="186"/>
    <n v="96561.87"/>
    <s v="SEVERE"/>
    <n v="33"/>
    <x v="1"/>
    <s v="DIVORCED"/>
    <s v="Dermatologists"/>
    <x v="2"/>
    <s v="Male"/>
  </r>
  <r>
    <n v="187"/>
    <n v="77695"/>
    <s v="MEDIUM"/>
    <n v="41"/>
    <x v="0"/>
    <s v="DIVORCED"/>
    <s v="Anesthesiologists"/>
    <x v="1"/>
    <s v="Male"/>
  </r>
  <r>
    <n v="188"/>
    <n v="74631.67"/>
    <s v="MEDIUM"/>
    <n v="45"/>
    <x v="0"/>
    <s v="DIVORCED"/>
    <s v="Obstetricians and Gynecologists"/>
    <x v="2"/>
    <s v="Female"/>
  </r>
  <r>
    <n v="189"/>
    <n v="90927.56"/>
    <s v="SEVERE"/>
    <n v="50"/>
    <x v="0"/>
    <s v="MARRIED"/>
    <s v="Orthopaedic surgeons"/>
    <x v="0"/>
    <s v="Male"/>
  </r>
  <r>
    <n v="190"/>
    <n v="95470.080000000002"/>
    <s v="SEVERE"/>
    <n v="25"/>
    <x v="0"/>
    <s v="MARRIED"/>
    <s v="Obstetricians and Gynecologists"/>
    <x v="2"/>
    <s v="Female"/>
  </r>
  <r>
    <n v="191"/>
    <n v="63640.79"/>
    <s v="MEDIUM"/>
    <n v="74"/>
    <x v="0"/>
    <s v="SINGLE"/>
    <s v="Anesthesiologists"/>
    <x v="2"/>
    <s v="Male"/>
  </r>
  <r>
    <n v="192"/>
    <n v="68010.559999999998"/>
    <s v="MEDIUM"/>
    <n v="37"/>
    <x v="1"/>
    <s v="WIDOWED"/>
    <s v="Anesthesiologists"/>
    <x v="0"/>
    <s v="Female"/>
  </r>
  <r>
    <n v="193"/>
    <n v="99740.86"/>
    <s v="SEVERE"/>
    <n v="38"/>
    <x v="1"/>
    <s v="MARRIED"/>
    <s v="Orthopaedic surgeons"/>
    <x v="2"/>
    <s v="Male"/>
  </r>
  <r>
    <n v="194"/>
    <n v="102018.12"/>
    <s v="SEVERE"/>
    <n v="44"/>
    <x v="1"/>
    <s v="WIDOWED"/>
    <s v="Anesthesiologists"/>
    <x v="2"/>
    <s v="Female"/>
  </r>
  <r>
    <n v="195"/>
    <n v="81226.66"/>
    <s v="MEDIUM"/>
    <n v="64"/>
    <x v="0"/>
    <s v="DIVORCED"/>
    <s v="Anesthesiologists"/>
    <x v="0"/>
    <s v="Male"/>
  </r>
  <r>
    <n v="196"/>
    <n v="86011.64"/>
    <s v="SEVERE"/>
    <n v="30"/>
    <x v="0"/>
    <s v="DIVORCED"/>
    <s v="Anesthesiologists"/>
    <x v="0"/>
    <s v="Male"/>
  </r>
  <r>
    <n v="197"/>
    <n v="81496.740000000005"/>
    <s v="MEDIUM"/>
    <n v="38"/>
    <x v="0"/>
    <s v="WIDOWED"/>
    <s v="Orthopaedic surgeons"/>
    <x v="2"/>
    <s v="Male"/>
  </r>
  <r>
    <n v="198"/>
    <n v="44708.26"/>
    <s v="MEDIUM"/>
    <n v="43"/>
    <x v="1"/>
    <s v="DIVORCED"/>
    <s v="Dermatologists"/>
    <x v="4"/>
    <s v="Male"/>
  </r>
  <r>
    <n v="199"/>
    <n v="74439.62"/>
    <s v="MEDIUM"/>
    <n v="51"/>
    <x v="0"/>
    <s v="MARRIED"/>
    <s v="Anesthesiologists"/>
    <x v="2"/>
    <s v="Female"/>
  </r>
  <r>
    <n v="200"/>
    <n v="172708.95"/>
    <s v="SEVERE"/>
    <n v="71"/>
    <x v="0"/>
    <s v="MARRIED"/>
    <s v="Orthopaedic surgeons"/>
    <x v="0"/>
    <s v="Female"/>
  </r>
  <r>
    <n v="201"/>
    <n v="105553.01"/>
    <s v="SEVERE"/>
    <n v="57"/>
    <x v="0"/>
    <s v="WIDOWED"/>
    <s v="Anesthesiologists"/>
    <x v="0"/>
    <s v="Female"/>
  </r>
  <r>
    <n v="202"/>
    <n v="69993.55"/>
    <s v="MEDIUM"/>
    <n v="61"/>
    <x v="0"/>
    <s v="DIVORCED"/>
    <s v="Orthopaedic surgeons"/>
    <x v="0"/>
    <s v="Female"/>
  </r>
  <r>
    <n v="203"/>
    <n v="69983.3"/>
    <s v="MEDIUM"/>
    <n v="47"/>
    <x v="0"/>
    <s v="MARRIED"/>
    <s v="Orthopaedic surgeons"/>
    <x v="2"/>
    <s v="Female"/>
  </r>
  <r>
    <n v="204"/>
    <n v="63417.89"/>
    <s v="MEDIUM"/>
    <n v="41"/>
    <x v="1"/>
    <s v="WIDOWED"/>
    <s v="Anesthesiologists"/>
    <x v="3"/>
    <s v="Male"/>
  </r>
  <r>
    <n v="205"/>
    <n v="104679.48"/>
    <s v="SEVERE"/>
    <n v="58"/>
    <x v="1"/>
    <s v="WIDOWED"/>
    <s v="Anesthesiologists"/>
    <x v="2"/>
    <s v="Female"/>
  </r>
  <r>
    <n v="206"/>
    <n v="32373.65"/>
    <s v="MILD"/>
    <n v="48"/>
    <x v="1"/>
    <s v="DIVORCED"/>
    <s v="Dermatologists"/>
    <x v="2"/>
    <s v="Male"/>
  </r>
  <r>
    <n v="207"/>
    <n v="53106.47"/>
    <s v="MEDIUM"/>
    <n v="77"/>
    <x v="0"/>
    <s v="MARRIED"/>
    <s v="Anesthesiologists"/>
    <x v="0"/>
    <s v="Female"/>
  </r>
  <r>
    <n v="208"/>
    <n v="50722.02"/>
    <s v="MEDIUM"/>
    <n v="69"/>
    <x v="0"/>
    <s v="DIVORCED"/>
    <s v="Obstetricians and Gynecologists"/>
    <x v="3"/>
    <s v="Female"/>
  </r>
  <r>
    <n v="209"/>
    <n v="117398"/>
    <s v="SEVERE"/>
    <n v="49"/>
    <x v="1"/>
    <s v="DIVORCED"/>
    <s v="Orthopaedic surgeons"/>
    <x v="1"/>
    <s v="Female"/>
  </r>
  <r>
    <n v="210"/>
    <n v="57438.31"/>
    <s v="MEDIUM"/>
    <n v="33"/>
    <x v="0"/>
    <s v="DIVORCED"/>
    <s v="Orthopaedic surgeons"/>
    <x v="0"/>
    <s v="Female"/>
  </r>
  <r>
    <n v="211"/>
    <n v="65336.58"/>
    <s v="MEDIUM"/>
    <n v="10"/>
    <x v="0"/>
    <s v="SINGLE"/>
    <s v="Anesthesiologists"/>
    <x v="1"/>
    <s v="Female"/>
  </r>
  <r>
    <n v="212"/>
    <n v="47833.57"/>
    <s v="MEDIUM"/>
    <n v="49"/>
    <x v="1"/>
    <s v="MARRIED"/>
    <s v="Anesthesiologists"/>
    <x v="2"/>
    <s v="Male"/>
  </r>
  <r>
    <n v="213"/>
    <n v="87095.61"/>
    <s v="MEDIUM"/>
    <n v="54"/>
    <x v="0"/>
    <s v="DIVORCED"/>
    <s v="Anesthesiologists"/>
    <x v="0"/>
    <s v="Female"/>
  </r>
  <r>
    <n v="214"/>
    <n v="90962.46"/>
    <s v="SEVERE"/>
    <n v="13"/>
    <x v="1"/>
    <s v="SINGLE"/>
    <s v="Obstetricians and Gynecologists"/>
    <x v="2"/>
    <s v="Female"/>
  </r>
  <r>
    <n v="215"/>
    <n v="92337"/>
    <s v="SEVERE"/>
    <n v="43"/>
    <x v="0"/>
    <s v="MARRIED"/>
    <s v="Orthopaedic surgeons"/>
    <x v="0"/>
    <s v="Female"/>
  </r>
  <r>
    <n v="216"/>
    <n v="70563.47"/>
    <s v="MEDIUM"/>
    <n v="59"/>
    <x v="1"/>
    <s v="MARRIED"/>
    <s v="Dermatologists"/>
    <x v="3"/>
    <s v="Female"/>
  </r>
  <r>
    <n v="217"/>
    <n v="102223"/>
    <s v="SEVERE"/>
    <n v="71"/>
    <x v="0"/>
    <s v="MARRIED"/>
    <s v="Orthopaedic surgeons"/>
    <x v="0"/>
    <s v="Female"/>
  </r>
  <r>
    <n v="218"/>
    <n v="55482.61"/>
    <s v="MEDIUM"/>
    <n v="50"/>
    <x v="0"/>
    <s v="DIVORCED"/>
    <s v="Anesthesiologists"/>
    <x v="1"/>
    <s v="Female"/>
  </r>
  <r>
    <n v="219"/>
    <n v="91111.1"/>
    <s v="SEVERE"/>
    <n v="50"/>
    <x v="0"/>
    <s v="MARRIED"/>
    <s v="Anesthesiologists"/>
    <x v="1"/>
    <s v="Female"/>
  </r>
  <r>
    <n v="220"/>
    <n v="101920"/>
    <s v="SEVERE"/>
    <n v="63"/>
    <x v="0"/>
    <s v="SINGLE"/>
    <s v="Orthopaedic surgeons"/>
    <x v="2"/>
    <s v="Female"/>
  </r>
  <r>
    <n v="221"/>
    <n v="115650"/>
    <s v="SEVERE"/>
    <n v="33"/>
    <x v="0"/>
    <s v="DIVORCED"/>
    <s v="Orthopaedic surgeons"/>
    <x v="2"/>
    <s v="Male"/>
  </r>
  <r>
    <n v="222"/>
    <n v="67986.34"/>
    <s v="MEDIUM"/>
    <n v="48"/>
    <x v="0"/>
    <s v="MARRIED"/>
    <s v="Orthopaedic surgeons"/>
    <x v="4"/>
    <s v="Female"/>
  </r>
  <r>
    <n v="223"/>
    <n v="59598.31"/>
    <s v="MEDIUM"/>
    <n v="57"/>
    <x v="1"/>
    <s v="DIVORCED"/>
    <s v="Orthopaedic surgeons"/>
    <x v="1"/>
    <s v="Female"/>
  </r>
  <r>
    <n v="224"/>
    <n v="102271.6"/>
    <s v="SEVERE"/>
    <n v="74"/>
    <x v="0"/>
    <s v="MARRIED"/>
    <s v="Anesthesiologists"/>
    <x v="2"/>
    <s v="Male"/>
  </r>
  <r>
    <n v="225"/>
    <n v="103112.99"/>
    <s v="SEVERE"/>
    <n v="52"/>
    <x v="0"/>
    <s v="MARRIED"/>
    <s v="Anesthesiologists"/>
    <x v="2"/>
    <s v="Fema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6FF14-9AF2-4149-83C4-594824A5AF3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G7" firstHeaderRow="1" firstDataRow="2" firstDataCol="1"/>
  <pivotFields count="9">
    <pivotField showAll="0"/>
    <pivotField dataField="1" numFmtId="2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axis="axisCol" showAll="0">
      <items count="6">
        <item x="1"/>
        <item x="3"/>
        <item x="2"/>
        <item x="0"/>
        <item x="4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Payout Amount" fld="1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553889-F434-1E40-8B96-11FE9178364E}" name="Table1" displayName="Table1" ref="A1:B152" totalsRowShown="0" headerRowDxfId="14">
  <tableColumns count="2">
    <tableColumn id="1" xr3:uid="{D1B8C691-86F8-0141-AACA-2A364F24D21A}" name="Payout Amount(Private)" dataDxfId="15"/>
    <tableColumn id="2" xr3:uid="{0BAAE8E6-24CD-3941-98FB-7703E2467126}" name="Payout Amount(Not Private)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09E14C-9A1A-3148-8100-05CD14B94A13}" name="Table3" displayName="Table3" ref="A1:B74" totalsRowShown="0" headerRowDxfId="13">
  <tableColumns count="2">
    <tableColumn id="1" xr3:uid="{DFB5A37C-CD7E-C646-A370-31AF9508C81F}" name="Private Attorney(Dermatologists)"/>
    <tableColumn id="2" xr3:uid="{ED1A93B9-83A9-2C4B-9D8E-95C21B5184CF}" name="Private Attorney(Orthopaedic surgeons)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9C0BF4-D6D9-304E-BE79-3E3BD927DF25}" name="Table4" displayName="Table4" ref="A1:B226" totalsRowShown="0" headerRowDxfId="12">
  <tableColumns count="2">
    <tableColumn id="1" xr3:uid="{3A868DD5-3332-8E48-9896-11E61C6DF7C0}" name="Private Attorney"/>
    <tableColumn id="2" xr3:uid="{13EE747D-37B9-064C-852B-6AF09C20B81A}" name="Specialty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D4BC33-13B8-1A49-8A01-D17DB4180FC1}" name="Table5" displayName="Table5" ref="A1:D87" totalsRowShown="0" headerRowDxfId="3">
  <tableColumns count="4">
    <tableColumn id="1" xr3:uid="{70580570-C632-2041-A53E-92B106068441}" name="Payout Amount(Anesthesiologists)" dataDxfId="4"/>
    <tableColumn id="2" xr3:uid="{4EC38C04-DE50-5C4E-A947-E494D5609DB8}" name="Payout Amount(Dermatologists)"/>
    <tableColumn id="3" xr3:uid="{12A13352-5FD9-B444-AA21-6B7E46FB3EBA}" name="Payout Amount(Obstetricians and Gynecologists)"/>
    <tableColumn id="4" xr3:uid="{3CCDE177-8FBA-2645-A271-C74EEB71A2EF}" name="Payout Amount(Orthopaedic surgeons)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27BBF1-6BE7-594E-9419-7049F8514DEB}" name="Table6" displayName="Table6" ref="A1:B42" totalsRowShown="0" headerRowDxfId="1">
  <tableColumns count="2">
    <tableColumn id="1" xr3:uid="{481F2EAB-C211-2444-B706-6FDEBECDA713}" name="Payout Amount(Orthopaedic surgeons for SEVERE)"/>
    <tableColumn id="2" xr3:uid="{9B47ACB9-BFC0-BF40-AAA5-A623F5345105}" name="Payout Amount(All other specialities for SEVERE)" dataDxfId="2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B59B7C-A562-EB41-8DCD-0FEB24111630}" name="Table7" displayName="Table7" ref="A1:C16" totalsRowShown="0">
  <tableColumns count="3">
    <tableColumn id="1" xr3:uid="{DE05BEC9-809E-7349-BA13-FD6F805E69DA}" name="Obstetricians and Gynecologists" dataDxfId="0"/>
    <tableColumn id="2" xr3:uid="{FD96E2BD-C9EF-CE4C-A104-50685EEFF689}" name="# High risk patients accpeted (Before MLR)"/>
    <tableColumn id="3" xr3:uid="{D432BA4C-53D9-4548-9D64-5429391B445C}" name="# High risk patients accpeted (After MLR)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4786-5CEF-1A4F-8FE0-5E57907EDCE5}">
  <dimension ref="A1:O152"/>
  <sheetViews>
    <sheetView zoomScale="85" workbookViewId="0">
      <selection activeCell="C39" sqref="C39"/>
    </sheetView>
  </sheetViews>
  <sheetFormatPr baseColWidth="10" defaultRowHeight="16" x14ac:dyDescent="0.2"/>
  <cols>
    <col min="1" max="1" width="21.83203125" customWidth="1"/>
    <col min="2" max="2" width="25.83203125" customWidth="1"/>
    <col min="3" max="3" width="15.6640625" customWidth="1"/>
    <col min="4" max="4" width="23" customWidth="1"/>
    <col min="5" max="5" width="22.5" customWidth="1"/>
    <col min="6" max="6" width="25.6640625" customWidth="1"/>
    <col min="7" max="8" width="14.1640625" customWidth="1"/>
    <col min="9" max="9" width="24.83203125" customWidth="1"/>
    <col min="12" max="12" width="15.6640625" customWidth="1"/>
  </cols>
  <sheetData>
    <row r="1" spans="1:12" x14ac:dyDescent="0.2">
      <c r="A1" s="1" t="s">
        <v>24</v>
      </c>
      <c r="B1" s="1" t="s">
        <v>25</v>
      </c>
      <c r="C1" s="1"/>
    </row>
    <row r="2" spans="1:12" ht="17" thickBot="1" x14ac:dyDescent="0.25">
      <c r="A2" s="2">
        <v>61604.84</v>
      </c>
      <c r="B2" s="2">
        <v>92642.1</v>
      </c>
    </row>
    <row r="3" spans="1:12" ht="17" thickBot="1" x14ac:dyDescent="0.25">
      <c r="A3" s="2">
        <v>117792</v>
      </c>
      <c r="B3" s="2">
        <v>57280.38</v>
      </c>
      <c r="I3" s="41" t="s">
        <v>2</v>
      </c>
      <c r="J3" s="42"/>
      <c r="K3" s="42"/>
      <c r="L3" s="43"/>
    </row>
    <row r="4" spans="1:12" x14ac:dyDescent="0.2">
      <c r="A4" s="2">
        <v>99113.71</v>
      </c>
      <c r="B4" s="2">
        <v>7800</v>
      </c>
      <c r="D4" s="21"/>
      <c r="E4" s="21" t="s">
        <v>24</v>
      </c>
      <c r="F4" s="21" t="s">
        <v>25</v>
      </c>
      <c r="G4" s="132"/>
      <c r="I4" s="44"/>
      <c r="J4" s="45"/>
      <c r="K4" s="45"/>
      <c r="L4" s="46"/>
    </row>
    <row r="5" spans="1:12" x14ac:dyDescent="0.2">
      <c r="A5" s="2">
        <v>78075.19</v>
      </c>
      <c r="B5" s="2">
        <v>75555.820000000007</v>
      </c>
      <c r="I5" s="35" t="s">
        <v>3</v>
      </c>
      <c r="J5" s="36"/>
      <c r="K5" s="36"/>
      <c r="L5" s="37"/>
    </row>
    <row r="6" spans="1:12" x14ac:dyDescent="0.2">
      <c r="A6" s="2">
        <v>83381</v>
      </c>
      <c r="B6" s="2">
        <v>91231.33</v>
      </c>
      <c r="D6" t="s">
        <v>26</v>
      </c>
      <c r="E6">
        <v>82705.023973509902</v>
      </c>
      <c r="F6">
        <v>66053.780945945953</v>
      </c>
      <c r="I6" s="3" t="s">
        <v>4</v>
      </c>
      <c r="J6" s="4" t="s">
        <v>5</v>
      </c>
      <c r="K6" s="4" t="str">
        <f>IF(K7="&gt;","≤",IF(K7="&lt;","≥","="))</f>
        <v>≤</v>
      </c>
      <c r="L6" s="5">
        <f>L7</f>
        <v>0</v>
      </c>
    </row>
    <row r="7" spans="1:12" x14ac:dyDescent="0.2">
      <c r="A7" s="2">
        <v>16400</v>
      </c>
      <c r="B7" s="2">
        <v>48047.24</v>
      </c>
      <c r="D7" t="s">
        <v>27</v>
      </c>
      <c r="E7">
        <v>2500.9365276702397</v>
      </c>
      <c r="F7">
        <v>3813.4132480831222</v>
      </c>
      <c r="I7" s="3" t="s">
        <v>6</v>
      </c>
      <c r="J7" s="4" t="s">
        <v>5</v>
      </c>
      <c r="K7" s="6" t="s">
        <v>7</v>
      </c>
      <c r="L7" s="7">
        <v>0</v>
      </c>
    </row>
    <row r="8" spans="1:12" x14ac:dyDescent="0.2">
      <c r="A8" s="2">
        <v>60116.24</v>
      </c>
      <c r="B8" s="2">
        <v>105530</v>
      </c>
      <c r="D8" t="s">
        <v>28</v>
      </c>
      <c r="E8">
        <v>80645.279999999999</v>
      </c>
      <c r="F8">
        <v>68630.19</v>
      </c>
      <c r="I8" s="8" t="s">
        <v>8</v>
      </c>
      <c r="J8" s="9"/>
      <c r="K8" s="9"/>
      <c r="L8" s="10" t="str">
        <f>IF(K7="&lt;","Lower",IF(K7="&gt;","Upper","Two"))</f>
        <v>Upper</v>
      </c>
    </row>
    <row r="9" spans="1:12" x14ac:dyDescent="0.2">
      <c r="A9" s="2">
        <v>80618.97</v>
      </c>
      <c r="B9" s="2">
        <v>101448.45</v>
      </c>
      <c r="D9" t="s">
        <v>29</v>
      </c>
      <c r="E9" t="e">
        <v>#N/A</v>
      </c>
      <c r="F9">
        <v>5400</v>
      </c>
      <c r="I9" s="35" t="s">
        <v>9</v>
      </c>
      <c r="J9" s="36"/>
      <c r="K9" s="36"/>
      <c r="L9" s="37"/>
    </row>
    <row r="10" spans="1:12" x14ac:dyDescent="0.2">
      <c r="A10" s="2">
        <v>62204.22</v>
      </c>
      <c r="B10" s="2">
        <v>67424.460000000006</v>
      </c>
      <c r="D10" t="s">
        <v>30</v>
      </c>
      <c r="E10">
        <v>30732.022563292601</v>
      </c>
      <c r="F10">
        <v>32804.221137660534</v>
      </c>
      <c r="I10" s="11"/>
      <c r="J10" s="12"/>
      <c r="K10" s="13" t="s">
        <v>10</v>
      </c>
      <c r="L10" s="14">
        <v>0.05</v>
      </c>
    </row>
    <row r="11" spans="1:12" x14ac:dyDescent="0.2">
      <c r="A11" s="2">
        <v>101124.96</v>
      </c>
      <c r="B11" s="2">
        <v>64883.76</v>
      </c>
      <c r="D11" t="s">
        <v>31</v>
      </c>
      <c r="E11">
        <v>944457210.83072674</v>
      </c>
      <c r="F11">
        <v>1076116924.448534</v>
      </c>
      <c r="I11" s="35" t="s">
        <v>11</v>
      </c>
      <c r="J11" s="36"/>
      <c r="K11" s="36"/>
      <c r="L11" s="37"/>
    </row>
    <row r="12" spans="1:12" x14ac:dyDescent="0.2">
      <c r="A12" s="2">
        <v>68361.55</v>
      </c>
      <c r="B12" s="2">
        <v>99286</v>
      </c>
      <c r="D12" t="s">
        <v>32</v>
      </c>
      <c r="E12">
        <v>7.2491017185315876</v>
      </c>
      <c r="F12">
        <v>-0.59704275021356779</v>
      </c>
      <c r="I12" s="28" t="s">
        <v>12</v>
      </c>
      <c r="J12" s="29"/>
      <c r="K12" s="29"/>
      <c r="L12" s="15">
        <f>L19+L23-2</f>
        <v>223</v>
      </c>
    </row>
    <row r="13" spans="1:12" x14ac:dyDescent="0.2">
      <c r="A13" s="2">
        <v>60043.21</v>
      </c>
      <c r="B13" s="2">
        <v>59627.97</v>
      </c>
      <c r="D13" t="s">
        <v>33</v>
      </c>
      <c r="E13">
        <v>1.7138365352423719</v>
      </c>
      <c r="F13">
        <v>-0.34886938831099612</v>
      </c>
      <c r="I13" s="28" t="str">
        <f>IF(K6="=","Lower Critical Value","Critical Value")</f>
        <v>Critical Value</v>
      </c>
      <c r="J13" s="29"/>
      <c r="K13" s="29"/>
      <c r="L13" s="16">
        <f>IF(L8="Two",-(TINV(L10,L12)),IF(L8="Lower",-(TINV(L10*2,L12)),TINV(L10*2,L12)))</f>
        <v>1.6517153201227122</v>
      </c>
    </row>
    <row r="14" spans="1:12" x14ac:dyDescent="0.2">
      <c r="A14" s="2">
        <v>79921.48</v>
      </c>
      <c r="B14" s="2">
        <v>98834.87</v>
      </c>
      <c r="D14" t="s">
        <v>34</v>
      </c>
      <c r="E14">
        <v>226624.8</v>
      </c>
      <c r="F14">
        <v>121721.21</v>
      </c>
      <c r="I14" s="25" t="str">
        <f>IF(K6="=","Upper Critical Value","")</f>
        <v/>
      </c>
      <c r="J14" s="26"/>
      <c r="K14" s="27"/>
      <c r="L14" s="17" t="str">
        <f>IF(K6="=",-L13,"")</f>
        <v/>
      </c>
    </row>
    <row r="15" spans="1:12" x14ac:dyDescent="0.2">
      <c r="A15" s="2">
        <v>49006.61</v>
      </c>
      <c r="B15" s="2">
        <v>55020.28</v>
      </c>
      <c r="D15" t="s">
        <v>35</v>
      </c>
      <c r="E15">
        <v>2100</v>
      </c>
      <c r="F15">
        <v>1547</v>
      </c>
      <c r="I15" s="35" t="s">
        <v>13</v>
      </c>
      <c r="J15" s="36"/>
      <c r="K15" s="36"/>
      <c r="L15" s="37"/>
    </row>
    <row r="16" spans="1:12" x14ac:dyDescent="0.2">
      <c r="A16" s="2">
        <v>76018.990000000005</v>
      </c>
      <c r="B16" s="2">
        <v>5400</v>
      </c>
      <c r="D16" t="s">
        <v>36</v>
      </c>
      <c r="E16">
        <v>228724.8</v>
      </c>
      <c r="F16">
        <v>123268.21</v>
      </c>
      <c r="I16" s="38" t="s">
        <v>14</v>
      </c>
      <c r="J16" s="39"/>
      <c r="K16" s="39"/>
      <c r="L16" s="40"/>
    </row>
    <row r="17" spans="1:12" x14ac:dyDescent="0.2">
      <c r="A17" s="2">
        <v>60402.53</v>
      </c>
      <c r="B17" s="2">
        <v>74757.45</v>
      </c>
      <c r="D17" t="s">
        <v>37</v>
      </c>
      <c r="E17">
        <v>12488458.619999995</v>
      </c>
      <c r="F17">
        <v>4887979.79</v>
      </c>
      <c r="I17" s="25" t="s">
        <v>15</v>
      </c>
      <c r="J17" s="26"/>
      <c r="K17" s="27"/>
      <c r="L17" s="7">
        <v>30732.022563292601</v>
      </c>
    </row>
    <row r="18" spans="1:12" ht="17" thickBot="1" x14ac:dyDescent="0.25">
      <c r="A18" s="2">
        <v>2100</v>
      </c>
      <c r="B18" s="2">
        <v>72380.429999999993</v>
      </c>
      <c r="D18" s="20" t="s">
        <v>38</v>
      </c>
      <c r="E18" s="20">
        <v>151</v>
      </c>
      <c r="F18" s="20">
        <v>74</v>
      </c>
      <c r="G18" s="53"/>
      <c r="I18" s="25" t="s">
        <v>16</v>
      </c>
      <c r="J18" s="26"/>
      <c r="K18" s="27"/>
      <c r="L18" s="7">
        <v>82705.023969999995</v>
      </c>
    </row>
    <row r="19" spans="1:12" x14ac:dyDescent="0.2">
      <c r="A19" s="2">
        <v>82754.929999999993</v>
      </c>
      <c r="B19" s="2">
        <v>5400</v>
      </c>
      <c r="I19" s="25" t="s">
        <v>17</v>
      </c>
      <c r="J19" s="26"/>
      <c r="K19" s="27"/>
      <c r="L19" s="7">
        <v>151</v>
      </c>
    </row>
    <row r="20" spans="1:12" x14ac:dyDescent="0.2">
      <c r="A20" s="2">
        <v>80150.240000000005</v>
      </c>
      <c r="B20" s="2">
        <v>74289.09</v>
      </c>
      <c r="I20" s="38" t="s">
        <v>18</v>
      </c>
      <c r="J20" s="39"/>
      <c r="K20" s="39"/>
      <c r="L20" s="40"/>
    </row>
    <row r="21" spans="1:12" ht="17" thickBot="1" x14ac:dyDescent="0.25">
      <c r="A21" s="2">
        <v>102578</v>
      </c>
      <c r="B21" s="2">
        <v>69082.429999999993</v>
      </c>
      <c r="I21" s="25" t="s">
        <v>15</v>
      </c>
      <c r="J21" s="26"/>
      <c r="K21" s="27"/>
      <c r="L21" s="7">
        <v>32804.221140000001</v>
      </c>
    </row>
    <row r="22" spans="1:12" ht="17" thickBot="1" x14ac:dyDescent="0.25">
      <c r="A22" s="2">
        <v>80645.279999999999</v>
      </c>
      <c r="B22" s="2">
        <v>99495.25</v>
      </c>
      <c r="D22" s="133" t="s">
        <v>156</v>
      </c>
      <c r="I22" s="25" t="s">
        <v>16</v>
      </c>
      <c r="J22" s="26"/>
      <c r="K22" s="27"/>
      <c r="L22" s="7">
        <v>66053.78095</v>
      </c>
    </row>
    <row r="23" spans="1:12" x14ac:dyDescent="0.2">
      <c r="A23" s="2">
        <v>74239.759999999995</v>
      </c>
      <c r="B23" s="2">
        <v>68732.52</v>
      </c>
      <c r="D23" s="137"/>
      <c r="E23" s="144"/>
      <c r="F23" s="144"/>
      <c r="G23" s="145"/>
      <c r="I23" s="25" t="s">
        <v>17</v>
      </c>
      <c r="J23" s="26"/>
      <c r="K23" s="27"/>
      <c r="L23" s="7">
        <v>74</v>
      </c>
    </row>
    <row r="24" spans="1:12" x14ac:dyDescent="0.2">
      <c r="A24" s="2">
        <v>46529.36</v>
      </c>
      <c r="B24" s="2">
        <v>119075</v>
      </c>
      <c r="D24" s="138" t="s">
        <v>151</v>
      </c>
      <c r="E24" s="53"/>
      <c r="F24" s="53"/>
      <c r="G24" s="141"/>
      <c r="I24" s="32"/>
      <c r="J24" s="33"/>
      <c r="K24" s="33"/>
      <c r="L24" s="34"/>
    </row>
    <row r="25" spans="1:12" x14ac:dyDescent="0.2">
      <c r="A25" s="2">
        <v>228724.8</v>
      </c>
      <c r="B25" s="2">
        <v>65426.85</v>
      </c>
      <c r="D25" s="137" t="s">
        <v>157</v>
      </c>
      <c r="E25" s="53"/>
      <c r="F25" s="53"/>
      <c r="G25" s="141"/>
      <c r="I25" s="25" t="s">
        <v>19</v>
      </c>
      <c r="J25" s="26"/>
      <c r="K25" s="27"/>
      <c r="L25" s="18">
        <f>((L19-1)*L17^2+(L23-1)*L21^2)/L12</f>
        <v>987556579.01594853</v>
      </c>
    </row>
    <row r="26" spans="1:12" x14ac:dyDescent="0.2">
      <c r="A26" s="2">
        <v>58759.67</v>
      </c>
      <c r="B26" s="2">
        <v>73617.33</v>
      </c>
      <c r="D26" s="137" t="s">
        <v>163</v>
      </c>
      <c r="E26" s="53"/>
      <c r="F26" s="53"/>
      <c r="G26" s="141"/>
      <c r="I26" s="28" t="s">
        <v>20</v>
      </c>
      <c r="J26" s="29"/>
      <c r="K26" s="29"/>
      <c r="L26" s="17">
        <f>SQRT(L25*(1/L19+1/L23))</f>
        <v>4459.3126119054268</v>
      </c>
    </row>
    <row r="27" spans="1:12" x14ac:dyDescent="0.2">
      <c r="A27" s="2">
        <v>95394</v>
      </c>
      <c r="B27" s="2">
        <v>72572.41</v>
      </c>
      <c r="D27" s="139"/>
      <c r="E27" s="140"/>
      <c r="F27" s="140"/>
      <c r="G27" s="142"/>
      <c r="I27" s="30" t="s">
        <v>21</v>
      </c>
      <c r="J27" s="31"/>
      <c r="K27" s="31"/>
      <c r="L27" s="19">
        <f>((L18-L22)-L6)/L26</f>
        <v>3.7340380612798207</v>
      </c>
    </row>
    <row r="28" spans="1:12" x14ac:dyDescent="0.2">
      <c r="A28" s="2">
        <v>69990.8</v>
      </c>
      <c r="B28" s="2">
        <v>24600</v>
      </c>
      <c r="D28" s="143"/>
      <c r="G28" s="145"/>
      <c r="I28" s="28" t="s">
        <v>22</v>
      </c>
      <c r="J28" s="29"/>
      <c r="K28" s="29"/>
      <c r="L28" s="19">
        <f>IF(K6="=",TDIST(ABS(L27),L12,2),IF(L27*L13&gt;0,TDIST(ABS(L27),L12,1),1-TDIST(ABS(L27),L12,1)))</f>
        <v>1.1964025599056926E-4</v>
      </c>
    </row>
    <row r="29" spans="1:12" x14ac:dyDescent="0.2">
      <c r="A29" s="2">
        <v>114683</v>
      </c>
      <c r="B29" s="2">
        <v>1547</v>
      </c>
      <c r="D29" s="138" t="s">
        <v>153</v>
      </c>
      <c r="G29" s="141"/>
      <c r="I29" s="32"/>
      <c r="J29" s="33"/>
      <c r="K29" s="33"/>
      <c r="L29" s="34"/>
    </row>
    <row r="30" spans="1:12" x14ac:dyDescent="0.2">
      <c r="A30" s="2">
        <v>96612.94</v>
      </c>
      <c r="B30" s="2">
        <v>111772</v>
      </c>
      <c r="D30" s="137" t="s">
        <v>154</v>
      </c>
      <c r="G30" s="141"/>
      <c r="I30" s="35" t="s">
        <v>23</v>
      </c>
      <c r="J30" s="36"/>
      <c r="K30" s="36"/>
      <c r="L30" s="37"/>
    </row>
    <row r="31" spans="1:12" ht="17" thickBot="1" x14ac:dyDescent="0.25">
      <c r="A31" s="2">
        <v>89477.66</v>
      </c>
      <c r="B31" s="2">
        <v>81217.259999999995</v>
      </c>
      <c r="D31" s="146" t="s">
        <v>162</v>
      </c>
      <c r="G31" s="141"/>
      <c r="I31" s="22" t="str">
        <f>IF(L28&lt;L10,"Reject Null Hypothesis", "Fail to reject Null Hypothesis")</f>
        <v>Reject Null Hypothesis</v>
      </c>
      <c r="J31" s="23"/>
      <c r="K31" s="23"/>
      <c r="L31" s="24"/>
    </row>
    <row r="32" spans="1:12" ht="17" thickBot="1" x14ac:dyDescent="0.25">
      <c r="A32" s="2">
        <v>89719.360000000001</v>
      </c>
      <c r="B32" s="2">
        <v>18204</v>
      </c>
      <c r="D32" s="139"/>
      <c r="E32" s="140"/>
      <c r="F32" s="140"/>
      <c r="G32" s="142"/>
    </row>
    <row r="33" spans="1:15" ht="17" thickBot="1" x14ac:dyDescent="0.25">
      <c r="A33" s="2">
        <v>99257.74</v>
      </c>
      <c r="B33" s="2">
        <v>62497.17</v>
      </c>
      <c r="H33" s="134" t="s">
        <v>158</v>
      </c>
      <c r="I33" s="135"/>
      <c r="J33" s="135"/>
      <c r="K33" s="135"/>
      <c r="L33" s="135"/>
      <c r="M33" s="135"/>
      <c r="N33" s="135"/>
      <c r="O33" s="136"/>
    </row>
    <row r="34" spans="1:15" x14ac:dyDescent="0.2">
      <c r="A34" s="2">
        <v>85823.15</v>
      </c>
      <c r="B34" s="2">
        <v>50903.67</v>
      </c>
      <c r="D34" t="s">
        <v>155</v>
      </c>
    </row>
    <row r="35" spans="1:15" x14ac:dyDescent="0.2">
      <c r="A35" s="2">
        <v>67459.039999999994</v>
      </c>
      <c r="B35" s="2">
        <v>99683.25</v>
      </c>
    </row>
    <row r="36" spans="1:15" x14ac:dyDescent="0.2">
      <c r="A36" s="2">
        <v>86446.49</v>
      </c>
      <c r="B36" s="2">
        <v>84730.66</v>
      </c>
    </row>
    <row r="37" spans="1:15" x14ac:dyDescent="0.2">
      <c r="A37" s="2">
        <v>70723.05</v>
      </c>
      <c r="B37" s="2">
        <v>22000</v>
      </c>
    </row>
    <row r="38" spans="1:15" x14ac:dyDescent="0.2">
      <c r="A38" s="2">
        <v>67909.52</v>
      </c>
      <c r="B38" s="2">
        <v>114258.47</v>
      </c>
    </row>
    <row r="39" spans="1:15" x14ac:dyDescent="0.2">
      <c r="A39" s="2">
        <v>84561.600000000006</v>
      </c>
      <c r="B39" s="2">
        <v>69921.78</v>
      </c>
    </row>
    <row r="40" spans="1:15" x14ac:dyDescent="0.2">
      <c r="A40" s="2">
        <v>91713.03</v>
      </c>
      <c r="B40" s="2">
        <v>46192.639999999999</v>
      </c>
    </row>
    <row r="41" spans="1:15" x14ac:dyDescent="0.2">
      <c r="A41" s="2">
        <v>84954.87</v>
      </c>
      <c r="B41" s="2">
        <v>3456</v>
      </c>
    </row>
    <row r="42" spans="1:15" x14ac:dyDescent="0.2">
      <c r="A42" s="2">
        <v>98196.77</v>
      </c>
      <c r="B42" s="2">
        <v>77969.039999999994</v>
      </c>
    </row>
    <row r="43" spans="1:15" x14ac:dyDescent="0.2">
      <c r="A43" s="2">
        <v>62189.67</v>
      </c>
      <c r="B43" s="2">
        <v>34252.97</v>
      </c>
    </row>
    <row r="44" spans="1:15" x14ac:dyDescent="0.2">
      <c r="A44" s="2">
        <v>74862.600000000006</v>
      </c>
      <c r="B44" s="2">
        <v>43382.38</v>
      </c>
    </row>
    <row r="45" spans="1:15" x14ac:dyDescent="0.2">
      <c r="A45" s="2">
        <v>81113.22</v>
      </c>
      <c r="B45" s="2">
        <v>25084.89</v>
      </c>
    </row>
    <row r="46" spans="1:15" x14ac:dyDescent="0.2">
      <c r="A46" s="2">
        <v>97036.92</v>
      </c>
      <c r="B46" s="2">
        <v>45155.17</v>
      </c>
    </row>
    <row r="47" spans="1:15" x14ac:dyDescent="0.2">
      <c r="A47" s="2">
        <v>58518.39</v>
      </c>
      <c r="B47" s="2">
        <v>73224.179999999993</v>
      </c>
    </row>
    <row r="48" spans="1:15" x14ac:dyDescent="0.2">
      <c r="A48" s="2">
        <v>83373.899999999994</v>
      </c>
      <c r="B48" s="2">
        <v>43119.28</v>
      </c>
    </row>
    <row r="49" spans="1:2" x14ac:dyDescent="0.2">
      <c r="A49" s="2">
        <v>69782.820000000007</v>
      </c>
      <c r="B49" s="2">
        <v>110240</v>
      </c>
    </row>
    <row r="50" spans="1:2" x14ac:dyDescent="0.2">
      <c r="A50" s="2">
        <v>110269</v>
      </c>
      <c r="B50" s="2">
        <v>123268.21</v>
      </c>
    </row>
    <row r="51" spans="1:2" x14ac:dyDescent="0.2">
      <c r="A51" s="2">
        <v>89959.28</v>
      </c>
      <c r="B51" s="2">
        <v>2400</v>
      </c>
    </row>
    <row r="52" spans="1:2" x14ac:dyDescent="0.2">
      <c r="A52" s="2">
        <v>72533.47</v>
      </c>
      <c r="B52" s="2">
        <v>61540.4</v>
      </c>
    </row>
    <row r="53" spans="1:2" x14ac:dyDescent="0.2">
      <c r="A53" s="2">
        <v>53218.22</v>
      </c>
      <c r="B53" s="2">
        <v>49307.93</v>
      </c>
    </row>
    <row r="54" spans="1:2" x14ac:dyDescent="0.2">
      <c r="A54" s="2">
        <v>51905.62</v>
      </c>
      <c r="B54" s="2">
        <v>60285.49</v>
      </c>
    </row>
    <row r="55" spans="1:2" x14ac:dyDescent="0.2">
      <c r="A55" s="2">
        <v>55547.3</v>
      </c>
      <c r="B55" s="2">
        <v>68527.86</v>
      </c>
    </row>
    <row r="56" spans="1:2" x14ac:dyDescent="0.2">
      <c r="A56" s="2">
        <v>83638.13</v>
      </c>
      <c r="B56" s="2">
        <v>77412.63</v>
      </c>
    </row>
    <row r="57" spans="1:2" x14ac:dyDescent="0.2">
      <c r="A57" s="2">
        <v>75827.710000000006</v>
      </c>
      <c r="B57" s="2">
        <v>116063</v>
      </c>
    </row>
    <row r="58" spans="1:2" x14ac:dyDescent="0.2">
      <c r="A58" s="2">
        <v>39788.74</v>
      </c>
      <c r="B58" s="2">
        <v>64876.49</v>
      </c>
    </row>
    <row r="59" spans="1:2" x14ac:dyDescent="0.2">
      <c r="A59" s="2">
        <v>52909.23</v>
      </c>
      <c r="B59" s="2">
        <v>6300</v>
      </c>
    </row>
    <row r="60" spans="1:2" x14ac:dyDescent="0.2">
      <c r="A60" s="2">
        <v>94873</v>
      </c>
      <c r="B60" s="2">
        <v>5678</v>
      </c>
    </row>
    <row r="61" spans="1:2" x14ac:dyDescent="0.2">
      <c r="A61" s="2">
        <v>85983.79</v>
      </c>
      <c r="B61" s="2">
        <v>79079.05</v>
      </c>
    </row>
    <row r="62" spans="1:2" x14ac:dyDescent="0.2">
      <c r="A62" s="2">
        <v>85765.56</v>
      </c>
      <c r="B62" s="2">
        <v>107121</v>
      </c>
    </row>
    <row r="63" spans="1:2" x14ac:dyDescent="0.2">
      <c r="A63" s="2">
        <v>70518.600000000006</v>
      </c>
      <c r="B63" s="2">
        <v>96561.87</v>
      </c>
    </row>
    <row r="64" spans="1:2" x14ac:dyDescent="0.2">
      <c r="A64" s="2">
        <v>67699.600000000006</v>
      </c>
      <c r="B64" s="2">
        <v>68010.559999999998</v>
      </c>
    </row>
    <row r="65" spans="1:2" x14ac:dyDescent="0.2">
      <c r="A65" s="2">
        <v>72480.289999999994</v>
      </c>
      <c r="B65" s="2">
        <v>99740.86</v>
      </c>
    </row>
    <row r="66" spans="1:2" x14ac:dyDescent="0.2">
      <c r="A66" s="2">
        <v>82667.25</v>
      </c>
      <c r="B66" s="2">
        <v>102018.12</v>
      </c>
    </row>
    <row r="67" spans="1:2" x14ac:dyDescent="0.2">
      <c r="A67" s="2">
        <v>67742.17</v>
      </c>
      <c r="B67" s="2">
        <v>44708.26</v>
      </c>
    </row>
    <row r="68" spans="1:2" x14ac:dyDescent="0.2">
      <c r="A68" s="2">
        <v>78267.839999999997</v>
      </c>
      <c r="B68" s="2">
        <v>63417.89</v>
      </c>
    </row>
    <row r="69" spans="1:2" x14ac:dyDescent="0.2">
      <c r="A69" s="2">
        <v>189470.43</v>
      </c>
      <c r="B69" s="2">
        <v>104679.48</v>
      </c>
    </row>
    <row r="70" spans="1:2" x14ac:dyDescent="0.2">
      <c r="A70" s="2">
        <v>109151.46</v>
      </c>
      <c r="B70" s="2">
        <v>32373.65</v>
      </c>
    </row>
    <row r="71" spans="1:2" x14ac:dyDescent="0.2">
      <c r="A71" s="2">
        <v>88260.18</v>
      </c>
      <c r="B71" s="2">
        <v>117398</v>
      </c>
    </row>
    <row r="72" spans="1:2" x14ac:dyDescent="0.2">
      <c r="A72" s="2">
        <v>73344.75</v>
      </c>
      <c r="B72" s="2">
        <v>47833.57</v>
      </c>
    </row>
    <row r="73" spans="1:2" x14ac:dyDescent="0.2">
      <c r="A73" s="2">
        <v>77552.22</v>
      </c>
      <c r="B73" s="2">
        <v>90962.46</v>
      </c>
    </row>
    <row r="74" spans="1:2" x14ac:dyDescent="0.2">
      <c r="A74" s="2">
        <v>84462.27</v>
      </c>
      <c r="B74" s="2">
        <v>70563.47</v>
      </c>
    </row>
    <row r="75" spans="1:2" x14ac:dyDescent="0.2">
      <c r="A75" s="2">
        <v>92892.21</v>
      </c>
      <c r="B75" s="2">
        <v>59598.31</v>
      </c>
    </row>
    <row r="76" spans="1:2" x14ac:dyDescent="0.2">
      <c r="A76" s="2">
        <v>98825.1</v>
      </c>
    </row>
    <row r="77" spans="1:2" x14ac:dyDescent="0.2">
      <c r="A77" s="2">
        <v>82422</v>
      </c>
    </row>
    <row r="78" spans="1:2" x14ac:dyDescent="0.2">
      <c r="A78" s="2">
        <v>91720.04</v>
      </c>
    </row>
    <row r="79" spans="1:2" x14ac:dyDescent="0.2">
      <c r="A79" s="2">
        <v>87713.8</v>
      </c>
    </row>
    <row r="80" spans="1:2" x14ac:dyDescent="0.2">
      <c r="A80" s="2">
        <v>91178.240000000005</v>
      </c>
    </row>
    <row r="81" spans="1:1" x14ac:dyDescent="0.2">
      <c r="A81" s="2">
        <v>104102.54</v>
      </c>
    </row>
    <row r="82" spans="1:1" x14ac:dyDescent="0.2">
      <c r="A82" s="2">
        <v>61285.279999999999</v>
      </c>
    </row>
    <row r="83" spans="1:1" x14ac:dyDescent="0.2">
      <c r="A83" s="2">
        <v>92241.04</v>
      </c>
    </row>
    <row r="84" spans="1:1" x14ac:dyDescent="0.2">
      <c r="A84" s="2">
        <v>122600</v>
      </c>
    </row>
    <row r="85" spans="1:1" x14ac:dyDescent="0.2">
      <c r="A85" s="2">
        <v>107402.73</v>
      </c>
    </row>
    <row r="86" spans="1:1" x14ac:dyDescent="0.2">
      <c r="A86" s="2">
        <v>62819.39</v>
      </c>
    </row>
    <row r="87" spans="1:1" x14ac:dyDescent="0.2">
      <c r="A87" s="2">
        <v>63652.13</v>
      </c>
    </row>
    <row r="88" spans="1:1" x14ac:dyDescent="0.2">
      <c r="A88" s="2">
        <v>10101</v>
      </c>
    </row>
    <row r="89" spans="1:1" x14ac:dyDescent="0.2">
      <c r="A89" s="2">
        <v>63110.45</v>
      </c>
    </row>
    <row r="90" spans="1:1" x14ac:dyDescent="0.2">
      <c r="A90" s="2">
        <v>68853.27</v>
      </c>
    </row>
    <row r="91" spans="1:1" x14ac:dyDescent="0.2">
      <c r="A91" s="2">
        <v>64900.77</v>
      </c>
    </row>
    <row r="92" spans="1:1" x14ac:dyDescent="0.2">
      <c r="A92" s="2">
        <v>81806.59</v>
      </c>
    </row>
    <row r="93" spans="1:1" x14ac:dyDescent="0.2">
      <c r="A93" s="2">
        <v>195526.04</v>
      </c>
    </row>
    <row r="94" spans="1:1" x14ac:dyDescent="0.2">
      <c r="A94" s="2">
        <v>81617.78</v>
      </c>
    </row>
    <row r="95" spans="1:1" x14ac:dyDescent="0.2">
      <c r="A95" s="2">
        <v>91222.51</v>
      </c>
    </row>
    <row r="96" spans="1:1" x14ac:dyDescent="0.2">
      <c r="A96" s="2">
        <v>72570.34</v>
      </c>
    </row>
    <row r="97" spans="1:1" x14ac:dyDescent="0.2">
      <c r="A97" s="2">
        <v>67330.8</v>
      </c>
    </row>
    <row r="98" spans="1:1" x14ac:dyDescent="0.2">
      <c r="A98" s="2">
        <v>66938.75</v>
      </c>
    </row>
    <row r="99" spans="1:1" x14ac:dyDescent="0.2">
      <c r="A99" s="2">
        <v>68279.94</v>
      </c>
    </row>
    <row r="100" spans="1:1" x14ac:dyDescent="0.2">
      <c r="A100" s="2">
        <v>102748.96</v>
      </c>
    </row>
    <row r="101" spans="1:1" x14ac:dyDescent="0.2">
      <c r="A101" s="2">
        <v>53869.97</v>
      </c>
    </row>
    <row r="102" spans="1:1" x14ac:dyDescent="0.2">
      <c r="A102" s="2">
        <v>68678.490000000005</v>
      </c>
    </row>
    <row r="103" spans="1:1" x14ac:dyDescent="0.2">
      <c r="A103" s="2">
        <v>92547.6</v>
      </c>
    </row>
    <row r="104" spans="1:1" x14ac:dyDescent="0.2">
      <c r="A104" s="2">
        <v>68562.02</v>
      </c>
    </row>
    <row r="105" spans="1:1" x14ac:dyDescent="0.2">
      <c r="A105" s="2">
        <v>109343.01</v>
      </c>
    </row>
    <row r="106" spans="1:1" x14ac:dyDescent="0.2">
      <c r="A106" s="2">
        <v>123433</v>
      </c>
    </row>
    <row r="107" spans="1:1" x14ac:dyDescent="0.2">
      <c r="A107" s="2">
        <v>148904.06</v>
      </c>
    </row>
    <row r="108" spans="1:1" x14ac:dyDescent="0.2">
      <c r="A108" s="2">
        <v>217600.83</v>
      </c>
    </row>
    <row r="109" spans="1:1" x14ac:dyDescent="0.2">
      <c r="A109" s="2">
        <v>57068.28</v>
      </c>
    </row>
    <row r="110" spans="1:1" x14ac:dyDescent="0.2">
      <c r="A110" s="2">
        <v>99282.01</v>
      </c>
    </row>
    <row r="111" spans="1:1" x14ac:dyDescent="0.2">
      <c r="A111" s="2">
        <v>61312.44</v>
      </c>
    </row>
    <row r="112" spans="1:1" x14ac:dyDescent="0.2">
      <c r="A112" s="2">
        <v>83606.91</v>
      </c>
    </row>
    <row r="113" spans="1:1" x14ac:dyDescent="0.2">
      <c r="A113" s="2">
        <v>101453.21</v>
      </c>
    </row>
    <row r="114" spans="1:1" x14ac:dyDescent="0.2">
      <c r="A114" s="2">
        <v>113486</v>
      </c>
    </row>
    <row r="115" spans="1:1" x14ac:dyDescent="0.2">
      <c r="A115" s="2">
        <v>66027</v>
      </c>
    </row>
    <row r="116" spans="1:1" x14ac:dyDescent="0.2">
      <c r="A116" s="2">
        <v>85350.66</v>
      </c>
    </row>
    <row r="117" spans="1:1" x14ac:dyDescent="0.2">
      <c r="A117" s="2">
        <v>73985.41</v>
      </c>
    </row>
    <row r="118" spans="1:1" x14ac:dyDescent="0.2">
      <c r="A118" s="2">
        <v>80162.899999999994</v>
      </c>
    </row>
    <row r="119" spans="1:1" x14ac:dyDescent="0.2">
      <c r="A119" s="2">
        <v>2300</v>
      </c>
    </row>
    <row r="120" spans="1:1" x14ac:dyDescent="0.2">
      <c r="A120" s="2">
        <v>71558.03</v>
      </c>
    </row>
    <row r="121" spans="1:1" x14ac:dyDescent="0.2">
      <c r="A121" s="2">
        <v>83754.64</v>
      </c>
    </row>
    <row r="122" spans="1:1" x14ac:dyDescent="0.2">
      <c r="A122" s="2">
        <v>59354.54</v>
      </c>
    </row>
    <row r="123" spans="1:1" x14ac:dyDescent="0.2">
      <c r="A123" s="2">
        <v>75161.289999999994</v>
      </c>
    </row>
    <row r="124" spans="1:1" x14ac:dyDescent="0.2">
      <c r="A124" s="2">
        <v>92864</v>
      </c>
    </row>
    <row r="125" spans="1:1" x14ac:dyDescent="0.2">
      <c r="A125" s="2">
        <v>71054.23</v>
      </c>
    </row>
    <row r="126" spans="1:1" x14ac:dyDescent="0.2">
      <c r="A126" s="2">
        <v>77695</v>
      </c>
    </row>
    <row r="127" spans="1:1" x14ac:dyDescent="0.2">
      <c r="A127" s="2">
        <v>74631.67</v>
      </c>
    </row>
    <row r="128" spans="1:1" x14ac:dyDescent="0.2">
      <c r="A128" s="2">
        <v>90927.56</v>
      </c>
    </row>
    <row r="129" spans="1:1" x14ac:dyDescent="0.2">
      <c r="A129" s="2">
        <v>95470.080000000002</v>
      </c>
    </row>
    <row r="130" spans="1:1" x14ac:dyDescent="0.2">
      <c r="A130" s="2">
        <v>63640.79</v>
      </c>
    </row>
    <row r="131" spans="1:1" x14ac:dyDescent="0.2">
      <c r="A131" s="2">
        <v>81226.66</v>
      </c>
    </row>
    <row r="132" spans="1:1" x14ac:dyDescent="0.2">
      <c r="A132" s="2">
        <v>86011.64</v>
      </c>
    </row>
    <row r="133" spans="1:1" x14ac:dyDescent="0.2">
      <c r="A133" s="2">
        <v>81496.740000000005</v>
      </c>
    </row>
    <row r="134" spans="1:1" x14ac:dyDescent="0.2">
      <c r="A134" s="2">
        <v>74439.62</v>
      </c>
    </row>
    <row r="135" spans="1:1" x14ac:dyDescent="0.2">
      <c r="A135" s="2">
        <v>172708.95</v>
      </c>
    </row>
    <row r="136" spans="1:1" x14ac:dyDescent="0.2">
      <c r="A136" s="2">
        <v>105553.01</v>
      </c>
    </row>
    <row r="137" spans="1:1" x14ac:dyDescent="0.2">
      <c r="A137" s="2">
        <v>69993.55</v>
      </c>
    </row>
    <row r="138" spans="1:1" x14ac:dyDescent="0.2">
      <c r="A138" s="2">
        <v>69983.3</v>
      </c>
    </row>
    <row r="139" spans="1:1" x14ac:dyDescent="0.2">
      <c r="A139" s="2">
        <v>53106.47</v>
      </c>
    </row>
    <row r="140" spans="1:1" x14ac:dyDescent="0.2">
      <c r="A140" s="2">
        <v>50722.02</v>
      </c>
    </row>
    <row r="141" spans="1:1" x14ac:dyDescent="0.2">
      <c r="A141" s="2">
        <v>57438.31</v>
      </c>
    </row>
    <row r="142" spans="1:1" x14ac:dyDescent="0.2">
      <c r="A142" s="2">
        <v>65336.58</v>
      </c>
    </row>
    <row r="143" spans="1:1" x14ac:dyDescent="0.2">
      <c r="A143" s="2">
        <v>87095.61</v>
      </c>
    </row>
    <row r="144" spans="1:1" x14ac:dyDescent="0.2">
      <c r="A144" s="2">
        <v>92337</v>
      </c>
    </row>
    <row r="145" spans="1:1" x14ac:dyDescent="0.2">
      <c r="A145" s="2">
        <v>102223</v>
      </c>
    </row>
    <row r="146" spans="1:1" x14ac:dyDescent="0.2">
      <c r="A146" s="2">
        <v>55482.61</v>
      </c>
    </row>
    <row r="147" spans="1:1" x14ac:dyDescent="0.2">
      <c r="A147" s="2">
        <v>91111.1</v>
      </c>
    </row>
    <row r="148" spans="1:1" x14ac:dyDescent="0.2">
      <c r="A148" s="2">
        <v>101920</v>
      </c>
    </row>
    <row r="149" spans="1:1" x14ac:dyDescent="0.2">
      <c r="A149" s="2">
        <v>115650</v>
      </c>
    </row>
    <row r="150" spans="1:1" x14ac:dyDescent="0.2">
      <c r="A150" s="2">
        <v>67986.34</v>
      </c>
    </row>
    <row r="151" spans="1:1" x14ac:dyDescent="0.2">
      <c r="A151" s="2">
        <v>102271.6</v>
      </c>
    </row>
    <row r="152" spans="1:1" x14ac:dyDescent="0.2">
      <c r="A152" s="2">
        <v>103112.99</v>
      </c>
    </row>
  </sheetData>
  <mergeCells count="25">
    <mergeCell ref="I12:K12"/>
    <mergeCell ref="I3:L3"/>
    <mergeCell ref="I4:L4"/>
    <mergeCell ref="I5:L5"/>
    <mergeCell ref="I9:L9"/>
    <mergeCell ref="I11:L11"/>
    <mergeCell ref="I24:L24"/>
    <mergeCell ref="I13:K13"/>
    <mergeCell ref="I14:K14"/>
    <mergeCell ref="I15:L15"/>
    <mergeCell ref="I16:L16"/>
    <mergeCell ref="I17:K17"/>
    <mergeCell ref="I18:K18"/>
    <mergeCell ref="I19:K19"/>
    <mergeCell ref="I20:L20"/>
    <mergeCell ref="I21:K21"/>
    <mergeCell ref="I22:K22"/>
    <mergeCell ref="I23:K23"/>
    <mergeCell ref="I31:L31"/>
    <mergeCell ref="I25:K25"/>
    <mergeCell ref="I26:K26"/>
    <mergeCell ref="I27:K27"/>
    <mergeCell ref="I28:K28"/>
    <mergeCell ref="I29:L29"/>
    <mergeCell ref="I30:L30"/>
  </mergeCells>
  <conditionalFormatting sqref="L14">
    <cfRule type="cellIs" dxfId="11" priority="1" stopIfTrue="1" operator="notEqual">
      <formula>""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B5BB-B6B6-D645-B8BC-DE92F90C5746}">
  <dimension ref="A1:N74"/>
  <sheetViews>
    <sheetView tabSelected="1" zoomScale="85" zoomScaleNormal="110" workbookViewId="0">
      <selection activeCell="D65" sqref="D65"/>
    </sheetView>
  </sheetViews>
  <sheetFormatPr baseColWidth="10" defaultRowHeight="16" x14ac:dyDescent="0.2"/>
  <cols>
    <col min="1" max="1" width="28.83203125" customWidth="1"/>
    <col min="2" max="2" width="32.83203125" customWidth="1"/>
    <col min="3" max="3" width="13.6640625" customWidth="1"/>
    <col min="4" max="4" width="50.5" customWidth="1"/>
    <col min="5" max="5" width="9.5" customWidth="1"/>
    <col min="9" max="9" width="21.5" customWidth="1"/>
    <col min="13" max="13" width="23.33203125" customWidth="1"/>
    <col min="14" max="14" width="42.6640625" customWidth="1"/>
    <col min="15" max="15" width="27.83203125" customWidth="1"/>
  </cols>
  <sheetData>
    <row r="1" spans="1:12" x14ac:dyDescent="0.2">
      <c r="A1" s="1" t="s">
        <v>39</v>
      </c>
      <c r="B1" s="1" t="s">
        <v>40</v>
      </c>
      <c r="C1" s="1"/>
    </row>
    <row r="2" spans="1:12" x14ac:dyDescent="0.2">
      <c r="A2" t="s">
        <v>0</v>
      </c>
      <c r="B2" t="s">
        <v>0</v>
      </c>
    </row>
    <row r="3" spans="1:12" ht="17" thickBot="1" x14ac:dyDescent="0.25">
      <c r="A3" t="s">
        <v>1</v>
      </c>
      <c r="B3" t="s">
        <v>1</v>
      </c>
    </row>
    <row r="4" spans="1:12" x14ac:dyDescent="0.2">
      <c r="A4" t="s">
        <v>0</v>
      </c>
      <c r="B4" t="s">
        <v>0</v>
      </c>
      <c r="D4" s="143" t="s">
        <v>52</v>
      </c>
      <c r="E4" s="181">
        <f>COUNTIF(A2:A74, "Private")</f>
        <v>22</v>
      </c>
      <c r="I4" s="147" t="s">
        <v>43</v>
      </c>
      <c r="J4" s="148"/>
      <c r="K4" s="148"/>
      <c r="L4" s="149"/>
    </row>
    <row r="5" spans="1:12" x14ac:dyDescent="0.2">
      <c r="A5" t="s">
        <v>1</v>
      </c>
      <c r="B5" t="s">
        <v>1</v>
      </c>
      <c r="D5" s="137" t="s">
        <v>54</v>
      </c>
      <c r="E5" s="182">
        <f>COUNTA(A2:A74)</f>
        <v>43</v>
      </c>
      <c r="I5" s="150"/>
      <c r="J5" s="45"/>
      <c r="K5" s="45"/>
      <c r="L5" s="151"/>
    </row>
    <row r="6" spans="1:12" x14ac:dyDescent="0.2">
      <c r="A6" t="s">
        <v>1</v>
      </c>
      <c r="B6" t="s">
        <v>0</v>
      </c>
      <c r="D6" s="137"/>
      <c r="E6" s="182"/>
      <c r="I6" s="152" t="s">
        <v>3</v>
      </c>
      <c r="J6" s="36"/>
      <c r="K6" s="36"/>
      <c r="L6" s="153"/>
    </row>
    <row r="7" spans="1:12" x14ac:dyDescent="0.2">
      <c r="A7" t="s">
        <v>1</v>
      </c>
      <c r="B7" t="s">
        <v>0</v>
      </c>
      <c r="D7" s="137"/>
      <c r="E7" s="182"/>
      <c r="I7" s="154" t="s">
        <v>4</v>
      </c>
      <c r="J7" s="4" t="s">
        <v>44</v>
      </c>
      <c r="K7" s="4" t="str">
        <f>IF(K8="&gt;","≤",IF(K8="&lt;","≥","="))</f>
        <v>≥</v>
      </c>
      <c r="L7" s="155">
        <f>L8</f>
        <v>0</v>
      </c>
    </row>
    <row r="8" spans="1:12" x14ac:dyDescent="0.2">
      <c r="A8" t="s">
        <v>1</v>
      </c>
      <c r="B8" t="s">
        <v>1</v>
      </c>
      <c r="D8" s="137" t="s">
        <v>53</v>
      </c>
      <c r="E8" s="182">
        <f>COUNTIF(B2:B74, "Private")</f>
        <v>46</v>
      </c>
      <c r="I8" s="154" t="s">
        <v>6</v>
      </c>
      <c r="J8" s="4" t="s">
        <v>44</v>
      </c>
      <c r="K8" s="6" t="s">
        <v>45</v>
      </c>
      <c r="L8" s="156">
        <v>0</v>
      </c>
    </row>
    <row r="9" spans="1:12" x14ac:dyDescent="0.2">
      <c r="A9" t="s">
        <v>1</v>
      </c>
      <c r="B9" t="s">
        <v>0</v>
      </c>
      <c r="D9" s="137" t="s">
        <v>55</v>
      </c>
      <c r="E9" s="182">
        <f xml:space="preserve"> COUNTA(B2:B74)</f>
        <v>73</v>
      </c>
      <c r="I9" s="157" t="s">
        <v>8</v>
      </c>
      <c r="J9" s="9"/>
      <c r="K9" s="9"/>
      <c r="L9" s="158" t="str">
        <f>IF(K8="&lt;","Lower",IF(K8="&gt;","Upper","Two"))</f>
        <v>Lower</v>
      </c>
    </row>
    <row r="10" spans="1:12" x14ac:dyDescent="0.2">
      <c r="A10" t="s">
        <v>0</v>
      </c>
      <c r="B10" t="s">
        <v>0</v>
      </c>
      <c r="D10" s="137"/>
      <c r="E10" s="182"/>
      <c r="I10" s="152" t="s">
        <v>9</v>
      </c>
      <c r="J10" s="36"/>
      <c r="K10" s="36"/>
      <c r="L10" s="153"/>
    </row>
    <row r="11" spans="1:12" x14ac:dyDescent="0.2">
      <c r="A11" t="s">
        <v>1</v>
      </c>
      <c r="B11" t="s">
        <v>0</v>
      </c>
      <c r="D11" s="137"/>
      <c r="E11" s="182"/>
      <c r="I11" s="159"/>
      <c r="J11" s="160"/>
      <c r="K11" s="13" t="s">
        <v>10</v>
      </c>
      <c r="L11" s="161">
        <v>0.05</v>
      </c>
    </row>
    <row r="12" spans="1:12" x14ac:dyDescent="0.2">
      <c r="A12" t="s">
        <v>0</v>
      </c>
      <c r="B12" t="s">
        <v>1</v>
      </c>
      <c r="D12" s="137" t="s">
        <v>41</v>
      </c>
      <c r="E12" s="182">
        <f>COUNTIF(A2:A74, "Private") / COUNTA(A2:A74)</f>
        <v>0.51162790697674421</v>
      </c>
      <c r="I12" s="152" t="s">
        <v>11</v>
      </c>
      <c r="J12" s="36"/>
      <c r="K12" s="36"/>
      <c r="L12" s="153"/>
    </row>
    <row r="13" spans="1:12" x14ac:dyDescent="0.2">
      <c r="A13" t="s">
        <v>0</v>
      </c>
      <c r="B13" t="s">
        <v>0</v>
      </c>
      <c r="D13" s="139" t="s">
        <v>42</v>
      </c>
      <c r="E13" s="183">
        <f>COUNTIF(B2:B74, "Private") / COUNTA(B2:B74)</f>
        <v>0.63013698630136983</v>
      </c>
      <c r="I13" s="162" t="str">
        <f>IF(K7="=","Lower Critical Value","Critical Value")</f>
        <v>Critical Value</v>
      </c>
      <c r="J13" s="29"/>
      <c r="K13" s="29"/>
      <c r="L13" s="163">
        <f>IF(L9="Two",NORMSINV(L11/2),IF(L9="Lower",NORMSINV(L11),NORMSINV(1-L11)))</f>
        <v>-1.6448536269514726</v>
      </c>
    </row>
    <row r="14" spans="1:12" x14ac:dyDescent="0.2">
      <c r="A14" t="s">
        <v>0</v>
      </c>
      <c r="B14" t="s">
        <v>0</v>
      </c>
      <c r="I14" s="164" t="str">
        <f>IF(K7="=","Upper Critical Value","")</f>
        <v/>
      </c>
      <c r="J14" s="26"/>
      <c r="K14" s="27"/>
      <c r="L14" s="165" t="str">
        <f>IF(K7="=",-L13,"")</f>
        <v/>
      </c>
    </row>
    <row r="15" spans="1:12" x14ac:dyDescent="0.2">
      <c r="A15" t="s">
        <v>1</v>
      </c>
      <c r="B15" t="s">
        <v>0</v>
      </c>
      <c r="I15" s="152" t="s">
        <v>46</v>
      </c>
      <c r="J15" s="36"/>
      <c r="K15" s="36"/>
      <c r="L15" s="153"/>
    </row>
    <row r="16" spans="1:12" x14ac:dyDescent="0.2">
      <c r="A16" t="s">
        <v>0</v>
      </c>
      <c r="B16" t="s">
        <v>1</v>
      </c>
      <c r="I16" s="166" t="s">
        <v>14</v>
      </c>
      <c r="J16" s="39"/>
      <c r="K16" s="39"/>
      <c r="L16" s="167"/>
    </row>
    <row r="17" spans="1:12" x14ac:dyDescent="0.2">
      <c r="A17" t="s">
        <v>1</v>
      </c>
      <c r="B17" t="s">
        <v>0</v>
      </c>
      <c r="I17" s="164" t="s">
        <v>17</v>
      </c>
      <c r="J17" s="26"/>
      <c r="K17" s="27"/>
      <c r="L17" s="168">
        <v>43</v>
      </c>
    </row>
    <row r="18" spans="1:12" x14ac:dyDescent="0.2">
      <c r="A18" t="s">
        <v>1</v>
      </c>
      <c r="B18" t="s">
        <v>0</v>
      </c>
      <c r="I18" s="164" t="s">
        <v>47</v>
      </c>
      <c r="J18" s="26"/>
      <c r="K18" s="27"/>
      <c r="L18" s="168">
        <v>22</v>
      </c>
    </row>
    <row r="19" spans="1:12" x14ac:dyDescent="0.2">
      <c r="A19" t="s">
        <v>0</v>
      </c>
      <c r="B19" t="s">
        <v>1</v>
      </c>
      <c r="I19" s="162" t="s">
        <v>48</v>
      </c>
      <c r="J19" s="29"/>
      <c r="K19" s="29"/>
      <c r="L19" s="169">
        <f>L18/L17</f>
        <v>0.51162790697674421</v>
      </c>
    </row>
    <row r="20" spans="1:12" x14ac:dyDescent="0.2">
      <c r="A20" t="s">
        <v>1</v>
      </c>
      <c r="B20" t="s">
        <v>1</v>
      </c>
      <c r="I20" s="166" t="s">
        <v>18</v>
      </c>
      <c r="J20" s="39"/>
      <c r="K20" s="39"/>
      <c r="L20" s="167"/>
    </row>
    <row r="21" spans="1:12" ht="17" thickBot="1" x14ac:dyDescent="0.25">
      <c r="A21" t="s">
        <v>0</v>
      </c>
      <c r="B21" t="s">
        <v>0</v>
      </c>
      <c r="I21" s="164" t="s">
        <v>17</v>
      </c>
      <c r="J21" s="26"/>
      <c r="K21" s="27"/>
      <c r="L21" s="168">
        <v>73</v>
      </c>
    </row>
    <row r="22" spans="1:12" ht="17" thickBot="1" x14ac:dyDescent="0.25">
      <c r="A22" t="s">
        <v>0</v>
      </c>
      <c r="B22" t="s">
        <v>1</v>
      </c>
      <c r="D22" s="133" t="s">
        <v>156</v>
      </c>
      <c r="F22" s="53"/>
      <c r="H22" s="53"/>
      <c r="I22" s="164" t="s">
        <v>47</v>
      </c>
      <c r="J22" s="26"/>
      <c r="K22" s="27"/>
      <c r="L22" s="168">
        <v>46</v>
      </c>
    </row>
    <row r="23" spans="1:12" x14ac:dyDescent="0.2">
      <c r="A23" t="s">
        <v>1</v>
      </c>
      <c r="B23" t="s">
        <v>0</v>
      </c>
      <c r="D23" s="137"/>
      <c r="E23" s="144"/>
      <c r="F23" s="145"/>
      <c r="G23" s="53"/>
      <c r="H23" s="53"/>
      <c r="I23" s="162" t="s">
        <v>49</v>
      </c>
      <c r="J23" s="29"/>
      <c r="K23" s="29"/>
      <c r="L23" s="169">
        <f>L22/L21</f>
        <v>0.63013698630136983</v>
      </c>
    </row>
    <row r="24" spans="1:12" x14ac:dyDescent="0.2">
      <c r="A24" t="s">
        <v>0</v>
      </c>
      <c r="B24" t="s">
        <v>1</v>
      </c>
      <c r="D24" s="138" t="s">
        <v>151</v>
      </c>
      <c r="E24" s="53"/>
      <c r="F24" s="141"/>
      <c r="G24" s="53"/>
      <c r="H24" s="53"/>
      <c r="I24" s="170"/>
      <c r="J24" s="47"/>
      <c r="K24" s="47"/>
      <c r="L24" s="171"/>
    </row>
    <row r="25" spans="1:12" x14ac:dyDescent="0.2">
      <c r="A25" t="s">
        <v>0</v>
      </c>
      <c r="B25" t="s">
        <v>1</v>
      </c>
      <c r="D25" s="137" t="s">
        <v>164</v>
      </c>
      <c r="E25" s="53"/>
      <c r="F25" s="141"/>
      <c r="G25" s="53"/>
      <c r="H25" s="53"/>
      <c r="I25" s="172"/>
      <c r="J25" s="48"/>
      <c r="K25" s="48"/>
      <c r="L25" s="173"/>
    </row>
    <row r="26" spans="1:12" x14ac:dyDescent="0.2">
      <c r="A26" t="s">
        <v>0</v>
      </c>
      <c r="B26" t="s">
        <v>1</v>
      </c>
      <c r="D26" s="137" t="s">
        <v>159</v>
      </c>
      <c r="E26" s="53"/>
      <c r="F26" s="141"/>
      <c r="G26" s="53"/>
      <c r="H26" s="53"/>
      <c r="I26" s="162" t="s">
        <v>50</v>
      </c>
      <c r="J26" s="29"/>
      <c r="K26" s="29"/>
      <c r="L26" s="169">
        <f>(L18+L22)/(L17+L21)</f>
        <v>0.58620689655172409</v>
      </c>
    </row>
    <row r="27" spans="1:12" x14ac:dyDescent="0.2">
      <c r="A27" t="s">
        <v>0</v>
      </c>
      <c r="B27" t="s">
        <v>0</v>
      </c>
      <c r="D27" s="139"/>
      <c r="E27" s="140"/>
      <c r="F27" s="141"/>
      <c r="G27" s="53"/>
      <c r="H27" s="53"/>
      <c r="I27" s="162" t="s">
        <v>27</v>
      </c>
      <c r="J27" s="29"/>
      <c r="K27" s="29"/>
      <c r="L27" s="169">
        <f>SQRT(L26*(1-L26)*(1/L17+1/L21))</f>
        <v>9.4678293730683941E-2</v>
      </c>
    </row>
    <row r="28" spans="1:12" x14ac:dyDescent="0.2">
      <c r="A28" t="s">
        <v>0</v>
      </c>
      <c r="B28" t="s">
        <v>0</v>
      </c>
      <c r="D28" s="143"/>
      <c r="E28" s="53"/>
      <c r="F28" s="145"/>
      <c r="G28" s="53"/>
      <c r="H28" s="53"/>
      <c r="I28" s="174" t="s">
        <v>51</v>
      </c>
      <c r="J28" s="31"/>
      <c r="K28" s="31"/>
      <c r="L28" s="175">
        <f>((L19-L23)-L7)/L27</f>
        <v>-1.2517027362336004</v>
      </c>
    </row>
    <row r="29" spans="1:12" x14ac:dyDescent="0.2">
      <c r="A29" t="s">
        <v>0</v>
      </c>
      <c r="B29" t="s">
        <v>0</v>
      </c>
      <c r="D29" s="138" t="s">
        <v>153</v>
      </c>
      <c r="E29" s="53"/>
      <c r="F29" s="141"/>
      <c r="G29" s="53"/>
      <c r="H29" s="53"/>
      <c r="I29" s="162" t="s">
        <v>22</v>
      </c>
      <c r="J29" s="29"/>
      <c r="K29" s="29"/>
      <c r="L29" s="175">
        <f>IF(L9="Two",2*(1-NORMSDIST(ABS(L28))),IF(L9="Lower",NORMSDIST(L28),1-NORMSDIST((L28))))</f>
        <v>0.10533910133925824</v>
      </c>
    </row>
    <row r="30" spans="1:12" x14ac:dyDescent="0.2">
      <c r="A30" t="s">
        <v>0</v>
      </c>
      <c r="B30" t="s">
        <v>0</v>
      </c>
      <c r="D30" s="137" t="s">
        <v>161</v>
      </c>
      <c r="E30" s="53"/>
      <c r="F30" s="141"/>
      <c r="G30" s="53"/>
      <c r="H30" s="53"/>
      <c r="I30" s="176"/>
      <c r="J30" s="33"/>
      <c r="K30" s="33"/>
      <c r="L30" s="177"/>
    </row>
    <row r="31" spans="1:12" x14ac:dyDescent="0.2">
      <c r="A31" t="s">
        <v>0</v>
      </c>
      <c r="B31" t="s">
        <v>1</v>
      </c>
      <c r="D31" s="146" t="s">
        <v>160</v>
      </c>
      <c r="E31" s="53"/>
      <c r="F31" s="141"/>
      <c r="G31" s="53"/>
      <c r="H31" s="53"/>
      <c r="I31" s="152" t="s">
        <v>23</v>
      </c>
      <c r="J31" s="36"/>
      <c r="K31" s="36"/>
      <c r="L31" s="153"/>
    </row>
    <row r="32" spans="1:12" ht="17" thickBot="1" x14ac:dyDescent="0.25">
      <c r="A32" t="s">
        <v>1</v>
      </c>
      <c r="B32" t="s">
        <v>0</v>
      </c>
      <c r="D32" s="139"/>
      <c r="E32" s="140"/>
      <c r="F32" s="142"/>
      <c r="G32" s="53"/>
      <c r="H32" s="53"/>
      <c r="I32" s="178" t="str">
        <f>IF(L29&lt;L11,"Reject Null Hypothesis", "Fail to reject Null Hypothesis")</f>
        <v>Fail to reject Null Hypothesis</v>
      </c>
      <c r="J32" s="179"/>
      <c r="K32" s="179"/>
      <c r="L32" s="180"/>
    </row>
    <row r="33" spans="1:14" ht="17" thickBot="1" x14ac:dyDescent="0.25">
      <c r="A33" t="s">
        <v>1</v>
      </c>
      <c r="B33" t="s">
        <v>0</v>
      </c>
      <c r="H33" s="53"/>
    </row>
    <row r="34" spans="1:14" ht="17" thickBot="1" x14ac:dyDescent="0.25">
      <c r="A34" t="s">
        <v>0</v>
      </c>
      <c r="B34" t="s">
        <v>0</v>
      </c>
      <c r="D34" t="s">
        <v>155</v>
      </c>
      <c r="G34" s="134" t="s">
        <v>165</v>
      </c>
      <c r="H34" s="135"/>
      <c r="I34" s="135"/>
      <c r="J34" s="135"/>
      <c r="K34" s="135"/>
      <c r="L34" s="135"/>
      <c r="M34" s="135"/>
      <c r="N34" s="136"/>
    </row>
    <row r="35" spans="1:14" x14ac:dyDescent="0.2">
      <c r="A35" t="s">
        <v>0</v>
      </c>
      <c r="B35" t="s">
        <v>0</v>
      </c>
    </row>
    <row r="36" spans="1:14" x14ac:dyDescent="0.2">
      <c r="A36" t="s">
        <v>0</v>
      </c>
      <c r="B36" t="s">
        <v>0</v>
      </c>
    </row>
    <row r="37" spans="1:14" x14ac:dyDescent="0.2">
      <c r="A37" t="s">
        <v>1</v>
      </c>
      <c r="B37" t="s">
        <v>0</v>
      </c>
    </row>
    <row r="38" spans="1:14" x14ac:dyDescent="0.2">
      <c r="A38" t="s">
        <v>0</v>
      </c>
      <c r="B38" t="s">
        <v>1</v>
      </c>
    </row>
    <row r="39" spans="1:14" x14ac:dyDescent="0.2">
      <c r="A39" t="s">
        <v>1</v>
      </c>
      <c r="B39" t="s">
        <v>0</v>
      </c>
    </row>
    <row r="40" spans="1:14" x14ac:dyDescent="0.2">
      <c r="A40" t="s">
        <v>1</v>
      </c>
      <c r="B40" t="s">
        <v>0</v>
      </c>
    </row>
    <row r="41" spans="1:14" x14ac:dyDescent="0.2">
      <c r="A41" t="s">
        <v>1</v>
      </c>
      <c r="B41" t="s">
        <v>1</v>
      </c>
    </row>
    <row r="42" spans="1:14" x14ac:dyDescent="0.2">
      <c r="A42" t="s">
        <v>1</v>
      </c>
      <c r="B42" t="s">
        <v>0</v>
      </c>
    </row>
    <row r="43" spans="1:14" x14ac:dyDescent="0.2">
      <c r="A43" t="s">
        <v>1</v>
      </c>
      <c r="B43" t="s">
        <v>0</v>
      </c>
    </row>
    <row r="44" spans="1:14" x14ac:dyDescent="0.2">
      <c r="A44" t="s">
        <v>1</v>
      </c>
      <c r="B44" t="s">
        <v>1</v>
      </c>
    </row>
    <row r="45" spans="1:14" x14ac:dyDescent="0.2">
      <c r="B45" t="s">
        <v>0</v>
      </c>
    </row>
    <row r="46" spans="1:14" x14ac:dyDescent="0.2">
      <c r="B46" t="s">
        <v>1</v>
      </c>
    </row>
    <row r="47" spans="1:14" x14ac:dyDescent="0.2">
      <c r="B47" t="s">
        <v>1</v>
      </c>
    </row>
    <row r="48" spans="1:14" x14ac:dyDescent="0.2">
      <c r="B48" t="s">
        <v>0</v>
      </c>
    </row>
    <row r="49" spans="2:2" x14ac:dyDescent="0.2">
      <c r="B49" t="s">
        <v>1</v>
      </c>
    </row>
    <row r="50" spans="2:2" x14ac:dyDescent="0.2">
      <c r="B50" t="s">
        <v>1</v>
      </c>
    </row>
    <row r="51" spans="2:2" x14ac:dyDescent="0.2">
      <c r="B51" t="s">
        <v>1</v>
      </c>
    </row>
    <row r="52" spans="2:2" x14ac:dyDescent="0.2">
      <c r="B52" t="s">
        <v>1</v>
      </c>
    </row>
    <row r="53" spans="2:2" x14ac:dyDescent="0.2">
      <c r="B53" t="s">
        <v>0</v>
      </c>
    </row>
    <row r="54" spans="2:2" x14ac:dyDescent="0.2">
      <c r="B54" t="s">
        <v>0</v>
      </c>
    </row>
    <row r="55" spans="2:2" x14ac:dyDescent="0.2">
      <c r="B55" t="s">
        <v>0</v>
      </c>
    </row>
    <row r="56" spans="2:2" x14ac:dyDescent="0.2">
      <c r="B56" t="s">
        <v>1</v>
      </c>
    </row>
    <row r="57" spans="2:2" x14ac:dyDescent="0.2">
      <c r="B57" t="s">
        <v>1</v>
      </c>
    </row>
    <row r="58" spans="2:2" x14ac:dyDescent="0.2">
      <c r="B58" t="s">
        <v>0</v>
      </c>
    </row>
    <row r="59" spans="2:2" x14ac:dyDescent="0.2">
      <c r="B59" t="s">
        <v>0</v>
      </c>
    </row>
    <row r="60" spans="2:2" x14ac:dyDescent="0.2">
      <c r="B60" t="s">
        <v>1</v>
      </c>
    </row>
    <row r="61" spans="2:2" x14ac:dyDescent="0.2">
      <c r="B61" t="s">
        <v>0</v>
      </c>
    </row>
    <row r="62" spans="2:2" x14ac:dyDescent="0.2">
      <c r="B62" t="s">
        <v>1</v>
      </c>
    </row>
    <row r="63" spans="2:2" x14ac:dyDescent="0.2">
      <c r="B63" t="s">
        <v>0</v>
      </c>
    </row>
    <row r="64" spans="2:2" x14ac:dyDescent="0.2">
      <c r="B64" t="s">
        <v>0</v>
      </c>
    </row>
    <row r="65" spans="2:2" x14ac:dyDescent="0.2">
      <c r="B65" t="s">
        <v>0</v>
      </c>
    </row>
    <row r="66" spans="2:2" x14ac:dyDescent="0.2">
      <c r="B66" t="s">
        <v>0</v>
      </c>
    </row>
    <row r="67" spans="2:2" x14ac:dyDescent="0.2">
      <c r="B67" t="s">
        <v>1</v>
      </c>
    </row>
    <row r="68" spans="2:2" x14ac:dyDescent="0.2">
      <c r="B68" t="s">
        <v>0</v>
      </c>
    </row>
    <row r="69" spans="2:2" x14ac:dyDescent="0.2">
      <c r="B69" t="s">
        <v>0</v>
      </c>
    </row>
    <row r="70" spans="2:2" x14ac:dyDescent="0.2">
      <c r="B70" t="s">
        <v>0</v>
      </c>
    </row>
    <row r="71" spans="2:2" x14ac:dyDescent="0.2">
      <c r="B71" t="s">
        <v>0</v>
      </c>
    </row>
    <row r="72" spans="2:2" x14ac:dyDescent="0.2">
      <c r="B72" t="s">
        <v>0</v>
      </c>
    </row>
    <row r="73" spans="2:2" x14ac:dyDescent="0.2">
      <c r="B73" t="s">
        <v>0</v>
      </c>
    </row>
    <row r="74" spans="2:2" x14ac:dyDescent="0.2">
      <c r="B74" t="s">
        <v>1</v>
      </c>
    </row>
  </sheetData>
  <mergeCells count="24">
    <mergeCell ref="I19:K19"/>
    <mergeCell ref="I4:L4"/>
    <mergeCell ref="I5:L5"/>
    <mergeCell ref="I6:L6"/>
    <mergeCell ref="I10:L10"/>
    <mergeCell ref="I12:L12"/>
    <mergeCell ref="I13:K13"/>
    <mergeCell ref="I14:K14"/>
    <mergeCell ref="I15:L15"/>
    <mergeCell ref="I16:L16"/>
    <mergeCell ref="I17:K17"/>
    <mergeCell ref="I18:K18"/>
    <mergeCell ref="I32:L32"/>
    <mergeCell ref="I20:L20"/>
    <mergeCell ref="I21:K21"/>
    <mergeCell ref="I22:K22"/>
    <mergeCell ref="I23:K23"/>
    <mergeCell ref="I24:L25"/>
    <mergeCell ref="I26:K26"/>
    <mergeCell ref="I27:K27"/>
    <mergeCell ref="I28:K28"/>
    <mergeCell ref="I29:K29"/>
    <mergeCell ref="I30:L30"/>
    <mergeCell ref="I31:L31"/>
  </mergeCells>
  <conditionalFormatting sqref="L14">
    <cfRule type="cellIs" dxfId="10" priority="1" stopIfTrue="1" operator="notEqual">
      <formula>""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2ED5-1435-DD49-98C2-92081CEEFF59}">
  <dimension ref="A1:P226"/>
  <sheetViews>
    <sheetView zoomScale="107" workbookViewId="0">
      <selection activeCell="E61" sqref="E61:L61"/>
    </sheetView>
  </sheetViews>
  <sheetFormatPr baseColWidth="10" defaultRowHeight="16" x14ac:dyDescent="0.2"/>
  <cols>
    <col min="1" max="1" width="16.1640625" customWidth="1"/>
    <col min="2" max="2" width="26" bestFit="1" customWidth="1"/>
    <col min="5" max="5" width="21.83203125" customWidth="1"/>
    <col min="6" max="6" width="27" customWidth="1"/>
    <col min="7" max="7" width="20.1640625" customWidth="1"/>
    <col min="8" max="8" width="18.6640625" customWidth="1"/>
    <col min="9" max="9" width="19" customWidth="1"/>
    <col min="10" max="10" width="16.6640625" customWidth="1"/>
    <col min="11" max="11" width="22.33203125" customWidth="1"/>
    <col min="16" max="16" width="23.1640625" customWidth="1"/>
  </cols>
  <sheetData>
    <row r="1" spans="1:16" x14ac:dyDescent="0.2">
      <c r="A1" s="1" t="s">
        <v>109</v>
      </c>
      <c r="B1" s="1" t="s">
        <v>56</v>
      </c>
    </row>
    <row r="2" spans="1:16" x14ac:dyDescent="0.2">
      <c r="A2" t="s">
        <v>0</v>
      </c>
      <c r="B2" t="s">
        <v>57</v>
      </c>
    </row>
    <row r="3" spans="1:16" x14ac:dyDescent="0.2">
      <c r="A3" t="s">
        <v>0</v>
      </c>
      <c r="B3" t="s">
        <v>58</v>
      </c>
    </row>
    <row r="4" spans="1:16" x14ac:dyDescent="0.2">
      <c r="A4" t="s">
        <v>1</v>
      </c>
      <c r="B4" t="s">
        <v>58</v>
      </c>
    </row>
    <row r="5" spans="1:16" x14ac:dyDescent="0.2">
      <c r="A5" t="s">
        <v>0</v>
      </c>
      <c r="B5" s="49" t="s">
        <v>59</v>
      </c>
    </row>
    <row r="6" spans="1:16" x14ac:dyDescent="0.2">
      <c r="A6" t="s">
        <v>0</v>
      </c>
      <c r="B6" t="s">
        <v>59</v>
      </c>
    </row>
    <row r="7" spans="1:16" x14ac:dyDescent="0.2">
      <c r="A7" t="s">
        <v>0</v>
      </c>
      <c r="B7" t="s">
        <v>58</v>
      </c>
      <c r="E7" s="99" t="s">
        <v>110</v>
      </c>
      <c r="F7" s="100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6" x14ac:dyDescent="0.2">
      <c r="A8" t="s">
        <v>1</v>
      </c>
      <c r="B8" t="s">
        <v>59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x14ac:dyDescent="0.2">
      <c r="A9" t="s">
        <v>1</v>
      </c>
      <c r="B9" t="s">
        <v>58</v>
      </c>
      <c r="E9" s="101" t="s">
        <v>111</v>
      </c>
      <c r="F9" s="101"/>
      <c r="G9" s="101"/>
      <c r="H9" s="101"/>
      <c r="I9" s="101"/>
      <c r="J9" s="101"/>
      <c r="K9" s="49"/>
      <c r="L9" s="49"/>
      <c r="M9" s="49"/>
      <c r="N9" s="49"/>
      <c r="O9" s="49"/>
      <c r="P9" s="49"/>
    </row>
    <row r="10" spans="1:16" x14ac:dyDescent="0.2">
      <c r="A10" t="s">
        <v>0</v>
      </c>
      <c r="B10" t="s">
        <v>59</v>
      </c>
      <c r="E10" s="102"/>
      <c r="F10" s="103" t="s">
        <v>138</v>
      </c>
      <c r="G10" s="104"/>
      <c r="H10" s="104"/>
      <c r="I10" s="105"/>
      <c r="J10" s="106"/>
      <c r="K10" s="49"/>
      <c r="L10" s="49" t="s">
        <v>112</v>
      </c>
      <c r="M10" s="49"/>
      <c r="N10" s="49"/>
      <c r="O10" s="49"/>
      <c r="P10" s="49"/>
    </row>
    <row r="11" spans="1:16" x14ac:dyDescent="0.2">
      <c r="A11" t="s">
        <v>0</v>
      </c>
      <c r="B11" t="s">
        <v>59</v>
      </c>
      <c r="E11" s="107" t="s">
        <v>109</v>
      </c>
      <c r="F11" s="107" t="s">
        <v>57</v>
      </c>
      <c r="G11" s="107" t="s">
        <v>58</v>
      </c>
      <c r="H11" s="107" t="s">
        <v>59</v>
      </c>
      <c r="I11" s="107" t="s">
        <v>60</v>
      </c>
      <c r="J11" s="108" t="s">
        <v>80</v>
      </c>
      <c r="K11" s="49"/>
      <c r="L11" s="109" t="s">
        <v>113</v>
      </c>
      <c r="M11" s="109"/>
      <c r="N11" s="109"/>
      <c r="O11" s="109"/>
      <c r="P11" s="49"/>
    </row>
    <row r="12" spans="1:16" x14ac:dyDescent="0.2">
      <c r="A12" t="s">
        <v>0</v>
      </c>
      <c r="B12" s="49" t="s">
        <v>59</v>
      </c>
      <c r="E12" s="110" t="s">
        <v>0</v>
      </c>
      <c r="F12" s="111">
        <v>17</v>
      </c>
      <c r="G12" s="111">
        <v>46</v>
      </c>
      <c r="H12" s="111">
        <v>66</v>
      </c>
      <c r="I12" s="111">
        <v>22</v>
      </c>
      <c r="J12" s="102">
        <f>SUM(F12:I12)</f>
        <v>151</v>
      </c>
      <c r="K12" s="49"/>
      <c r="L12" s="100">
        <f t="shared" ref="L12:O13" si="0">F12 - F19</f>
        <v>1.5644444444444439</v>
      </c>
      <c r="M12" s="100">
        <f t="shared" si="0"/>
        <v>-2.9911111111111097</v>
      </c>
      <c r="N12" s="100">
        <f t="shared" si="0"/>
        <v>8.2844444444444463</v>
      </c>
      <c r="O12" s="100">
        <f t="shared" si="0"/>
        <v>-6.8577777777777769</v>
      </c>
      <c r="P12" s="49"/>
    </row>
    <row r="13" spans="1:16" x14ac:dyDescent="0.2">
      <c r="A13" t="s">
        <v>1</v>
      </c>
      <c r="B13" s="49" t="s">
        <v>57</v>
      </c>
      <c r="E13" s="110" t="s">
        <v>1</v>
      </c>
      <c r="F13" s="111">
        <v>6</v>
      </c>
      <c r="G13" s="111">
        <v>27</v>
      </c>
      <c r="H13" s="111">
        <v>20</v>
      </c>
      <c r="I13" s="111">
        <v>21</v>
      </c>
      <c r="J13" s="102">
        <f>SUM(F13:I13)</f>
        <v>74</v>
      </c>
      <c r="K13" s="49"/>
      <c r="L13" s="100">
        <f t="shared" si="0"/>
        <v>-1.5644444444444447</v>
      </c>
      <c r="M13" s="100">
        <f t="shared" si="0"/>
        <v>2.9911111111111097</v>
      </c>
      <c r="N13" s="100">
        <f t="shared" si="0"/>
        <v>-8.2844444444444427</v>
      </c>
      <c r="O13" s="100">
        <f t="shared" si="0"/>
        <v>6.8577777777777786</v>
      </c>
      <c r="P13" s="49"/>
    </row>
    <row r="14" spans="1:16" x14ac:dyDescent="0.2">
      <c r="A14" t="s">
        <v>0</v>
      </c>
      <c r="B14" t="s">
        <v>58</v>
      </c>
      <c r="E14" s="112" t="s">
        <v>80</v>
      </c>
      <c r="F14" s="102">
        <f>SUM(F12:F13)</f>
        <v>23</v>
      </c>
      <c r="G14" s="102">
        <f>SUM(G12:G13)</f>
        <v>73</v>
      </c>
      <c r="H14" s="102">
        <f>SUM(H12:H13)</f>
        <v>86</v>
      </c>
      <c r="I14" s="102">
        <f>SUM(I12:I13)</f>
        <v>43</v>
      </c>
      <c r="J14" s="102">
        <f>SUM(F14:I14)</f>
        <v>225</v>
      </c>
      <c r="K14" s="49"/>
      <c r="L14" s="49"/>
      <c r="M14" s="49"/>
      <c r="N14" s="49"/>
      <c r="O14" s="49"/>
      <c r="P14" s="49"/>
    </row>
    <row r="15" spans="1:16" x14ac:dyDescent="0.2">
      <c r="A15" t="s">
        <v>0</v>
      </c>
      <c r="B15" t="s">
        <v>57</v>
      </c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16" x14ac:dyDescent="0.2">
      <c r="A16" t="s">
        <v>0</v>
      </c>
      <c r="B16" t="s">
        <v>58</v>
      </c>
      <c r="E16" s="113" t="s">
        <v>114</v>
      </c>
      <c r="F16" s="113"/>
      <c r="G16" s="113"/>
      <c r="H16" s="113"/>
      <c r="I16" s="113"/>
      <c r="J16" s="113"/>
      <c r="K16" s="49"/>
      <c r="L16" s="49"/>
      <c r="M16" s="49"/>
      <c r="N16" s="49"/>
      <c r="O16" s="49"/>
      <c r="P16" s="49"/>
    </row>
    <row r="17" spans="1:16" x14ac:dyDescent="0.2">
      <c r="A17" t="s">
        <v>0</v>
      </c>
      <c r="B17" t="s">
        <v>59</v>
      </c>
      <c r="E17" s="102"/>
      <c r="F17" s="114" t="str">
        <f>F10</f>
        <v>Specialities</v>
      </c>
      <c r="G17" s="115"/>
      <c r="H17" s="115"/>
      <c r="I17" s="116"/>
      <c r="J17" s="102"/>
      <c r="K17" s="49"/>
      <c r="L17" s="49"/>
      <c r="M17" s="49"/>
      <c r="N17" s="49"/>
      <c r="O17" s="49"/>
      <c r="P17" s="49"/>
    </row>
    <row r="18" spans="1:16" x14ac:dyDescent="0.2">
      <c r="A18" t="s">
        <v>0</v>
      </c>
      <c r="B18" t="s">
        <v>60</v>
      </c>
      <c r="E18" s="108" t="str">
        <f>E11</f>
        <v>Private Attorney</v>
      </c>
      <c r="F18" s="108" t="str">
        <f>F11</f>
        <v>Obstetricians and Gynecologists</v>
      </c>
      <c r="G18" s="108" t="str">
        <f>G11</f>
        <v>Orthopaedic surgeons</v>
      </c>
      <c r="H18" s="108" t="str">
        <f>H11</f>
        <v>Anesthesiologists</v>
      </c>
      <c r="I18" s="108" t="str">
        <f>I11</f>
        <v>Dermatologists</v>
      </c>
      <c r="J18" s="108" t="s">
        <v>80</v>
      </c>
      <c r="K18" s="49"/>
      <c r="L18" s="109" t="s">
        <v>115</v>
      </c>
      <c r="M18" s="109"/>
      <c r="N18" s="109"/>
      <c r="O18" s="109"/>
      <c r="P18" s="49"/>
    </row>
    <row r="19" spans="1:16" x14ac:dyDescent="0.2">
      <c r="A19" t="s">
        <v>1</v>
      </c>
      <c r="B19" t="s">
        <v>57</v>
      </c>
      <c r="E19" s="112" t="str">
        <f>E12</f>
        <v>Private</v>
      </c>
      <c r="F19" s="117">
        <f>J12 * F14/J14</f>
        <v>15.435555555555556</v>
      </c>
      <c r="G19" s="117">
        <f>J12 * G14/J14</f>
        <v>48.99111111111111</v>
      </c>
      <c r="H19" s="117">
        <f>J12 * H14/J14</f>
        <v>57.715555555555554</v>
      </c>
      <c r="I19" s="117">
        <f>J12 * I14/J14</f>
        <v>28.857777777777777</v>
      </c>
      <c r="J19" s="102">
        <f>SUM(F19:I19)</f>
        <v>151</v>
      </c>
      <c r="K19" s="49"/>
      <c r="L19" s="100">
        <f t="shared" ref="L19:O20" si="1">L12^2/F19</f>
        <v>0.15856160220110685</v>
      </c>
      <c r="M19" s="100">
        <f t="shared" si="1"/>
        <v>0.18261977481427707</v>
      </c>
      <c r="N19" s="100">
        <f t="shared" si="1"/>
        <v>1.189142495336859</v>
      </c>
      <c r="O19" s="100">
        <f t="shared" si="1"/>
        <v>1.6296859866180669</v>
      </c>
      <c r="P19" s="49"/>
    </row>
    <row r="20" spans="1:16" x14ac:dyDescent="0.2">
      <c r="A20" t="s">
        <v>0</v>
      </c>
      <c r="B20" t="s">
        <v>59</v>
      </c>
      <c r="E20" s="112" t="str">
        <f>E13</f>
        <v>Not Private</v>
      </c>
      <c r="F20" s="117">
        <f>J13 * F14/J14</f>
        <v>7.5644444444444447</v>
      </c>
      <c r="G20" s="117">
        <f>J13 * G14/J14</f>
        <v>24.00888888888889</v>
      </c>
      <c r="H20" s="117">
        <f>J13 * H14/J14</f>
        <v>28.284444444444443</v>
      </c>
      <c r="I20" s="117">
        <f>J13 * I14/J14</f>
        <v>14.142222222222221</v>
      </c>
      <c r="J20" s="102">
        <f>SUM(F20:I20)</f>
        <v>74</v>
      </c>
      <c r="K20" s="49"/>
      <c r="L20" s="100">
        <f t="shared" si="1"/>
        <v>0.32355137746442109</v>
      </c>
      <c r="M20" s="100">
        <f t="shared" si="1"/>
        <v>0.3726430540129167</v>
      </c>
      <c r="N20" s="100">
        <f t="shared" si="1"/>
        <v>2.4264934702143997</v>
      </c>
      <c r="O20" s="100">
        <f t="shared" si="1"/>
        <v>3.3254403240449761</v>
      </c>
      <c r="P20" s="49"/>
    </row>
    <row r="21" spans="1:16" x14ac:dyDescent="0.2">
      <c r="A21" t="s">
        <v>0</v>
      </c>
      <c r="B21" t="s">
        <v>57</v>
      </c>
      <c r="E21" s="112" t="s">
        <v>80</v>
      </c>
      <c r="F21" s="102">
        <f>SUM(F19:F20)</f>
        <v>23</v>
      </c>
      <c r="G21" s="102">
        <f>SUM(G19:G20)</f>
        <v>73</v>
      </c>
      <c r="H21" s="102">
        <f>SUM(H19:H20)</f>
        <v>86</v>
      </c>
      <c r="I21" s="102">
        <f>SUM(I19:I20)</f>
        <v>43</v>
      </c>
      <c r="J21" s="102">
        <f>SUM(F21:I21)</f>
        <v>225</v>
      </c>
      <c r="K21" s="49"/>
      <c r="L21" s="49"/>
      <c r="M21" s="49"/>
      <c r="N21" s="49"/>
      <c r="O21" s="49"/>
      <c r="P21" s="49"/>
    </row>
    <row r="22" spans="1:16" x14ac:dyDescent="0.2">
      <c r="A22" t="s">
        <v>0</v>
      </c>
      <c r="B22" t="s">
        <v>59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spans="1:16" x14ac:dyDescent="0.2">
      <c r="A23" t="s">
        <v>1</v>
      </c>
      <c r="B23" t="s">
        <v>60</v>
      </c>
      <c r="E23" s="118" t="s">
        <v>116</v>
      </c>
      <c r="F23" s="118"/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spans="1:16" x14ac:dyDescent="0.2">
      <c r="A24" t="s">
        <v>0</v>
      </c>
      <c r="B24" t="s">
        <v>59</v>
      </c>
      <c r="E24" s="119" t="s">
        <v>117</v>
      </c>
      <c r="F24" s="111">
        <v>0.05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1:16" ht="17" thickBot="1" x14ac:dyDescent="0.25">
      <c r="A25" t="s">
        <v>1</v>
      </c>
      <c r="B25" t="s">
        <v>58</v>
      </c>
      <c r="E25" s="120" t="s">
        <v>118</v>
      </c>
      <c r="F25" s="120">
        <v>2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6" ht="17" thickBot="1" x14ac:dyDescent="0.25">
      <c r="A26" t="s">
        <v>0</v>
      </c>
      <c r="B26" t="s">
        <v>59</v>
      </c>
      <c r="E26" s="120" t="s">
        <v>119</v>
      </c>
      <c r="F26" s="120">
        <v>4</v>
      </c>
      <c r="G26" s="49"/>
      <c r="H26" s="133" t="s">
        <v>156</v>
      </c>
      <c r="J26" s="53"/>
      <c r="K26" s="49"/>
      <c r="L26" s="49"/>
      <c r="M26" s="49"/>
      <c r="N26" s="49"/>
      <c r="O26" s="49"/>
      <c r="P26" s="49"/>
    </row>
    <row r="27" spans="1:16" x14ac:dyDescent="0.2">
      <c r="A27" t="s">
        <v>0</v>
      </c>
      <c r="B27" t="s">
        <v>57</v>
      </c>
      <c r="E27" s="120" t="s">
        <v>12</v>
      </c>
      <c r="F27" s="120">
        <f>(F25 - 1) * (F26 - 1)</f>
        <v>3</v>
      </c>
      <c r="G27" s="49"/>
      <c r="H27" s="137"/>
      <c r="I27" s="144"/>
      <c r="J27" s="144"/>
      <c r="K27" s="145"/>
      <c r="L27" s="49"/>
      <c r="M27" s="49"/>
      <c r="N27" s="49"/>
      <c r="O27" s="49"/>
      <c r="P27" s="49"/>
    </row>
    <row r="28" spans="1:16" x14ac:dyDescent="0.2">
      <c r="A28" t="s">
        <v>0</v>
      </c>
      <c r="B28" t="s">
        <v>58</v>
      </c>
      <c r="E28" s="49"/>
      <c r="F28" s="49"/>
      <c r="G28" s="49"/>
      <c r="H28" s="138" t="s">
        <v>151</v>
      </c>
      <c r="I28" s="53"/>
      <c r="J28" s="53"/>
      <c r="K28" s="141"/>
      <c r="L28" s="49"/>
      <c r="M28" s="49"/>
      <c r="N28" s="49"/>
      <c r="O28" s="49"/>
      <c r="P28" s="49"/>
    </row>
    <row r="29" spans="1:16" x14ac:dyDescent="0.2">
      <c r="A29" t="s">
        <v>0</v>
      </c>
      <c r="B29" t="s">
        <v>60</v>
      </c>
      <c r="E29" s="121" t="s">
        <v>120</v>
      </c>
      <c r="F29" s="121"/>
      <c r="G29" s="49"/>
      <c r="H29" s="137" t="s">
        <v>167</v>
      </c>
      <c r="I29" s="53"/>
      <c r="J29" s="53"/>
      <c r="K29" s="141"/>
      <c r="L29" s="49"/>
      <c r="M29" s="49"/>
      <c r="N29" s="49"/>
      <c r="O29" s="49"/>
      <c r="P29" s="49"/>
    </row>
    <row r="30" spans="1:16" x14ac:dyDescent="0.2">
      <c r="A30" t="s">
        <v>0</v>
      </c>
      <c r="B30" t="s">
        <v>59</v>
      </c>
      <c r="E30" s="122" t="s">
        <v>121</v>
      </c>
      <c r="F30" s="123">
        <f>CHIINV(F24, F27)</f>
        <v>7.8147279032511792</v>
      </c>
      <c r="G30" s="49"/>
      <c r="H30" s="137"/>
      <c r="I30" s="53"/>
      <c r="J30" s="53"/>
      <c r="K30" s="141"/>
      <c r="L30" s="49"/>
      <c r="M30" s="49"/>
      <c r="N30" s="49"/>
      <c r="O30" s="49"/>
      <c r="P30" s="49"/>
    </row>
    <row r="31" spans="1:16" x14ac:dyDescent="0.2">
      <c r="A31" t="s">
        <v>0</v>
      </c>
      <c r="B31" t="s">
        <v>58</v>
      </c>
      <c r="E31" s="122" t="s">
        <v>122</v>
      </c>
      <c r="F31" s="123">
        <f>SUM(L19:O20)</f>
        <v>9.6081380847070239</v>
      </c>
      <c r="G31" s="49"/>
      <c r="H31" s="139"/>
      <c r="I31" s="140"/>
      <c r="J31" s="53"/>
      <c r="K31" s="141"/>
      <c r="L31" s="49"/>
      <c r="M31" s="49"/>
      <c r="N31" s="49"/>
      <c r="O31" s="49"/>
      <c r="P31" s="49"/>
    </row>
    <row r="32" spans="1:16" x14ac:dyDescent="0.2">
      <c r="A32" t="s">
        <v>0</v>
      </c>
      <c r="B32" t="s">
        <v>59</v>
      </c>
      <c r="E32" s="124" t="s">
        <v>123</v>
      </c>
      <c r="F32" s="123">
        <f>CHIDIST(F31, F27)</f>
        <v>2.2208348315810363E-2</v>
      </c>
      <c r="G32" s="49"/>
      <c r="H32" s="143"/>
      <c r="I32" s="53"/>
      <c r="J32" s="144"/>
      <c r="K32" s="145"/>
      <c r="L32" s="49"/>
      <c r="M32" s="49"/>
      <c r="N32" s="49"/>
      <c r="O32" s="49"/>
      <c r="P32" s="49"/>
    </row>
    <row r="33" spans="1:16" x14ac:dyDescent="0.2">
      <c r="A33" t="s">
        <v>0</v>
      </c>
      <c r="B33" t="s">
        <v>59</v>
      </c>
      <c r="E33" s="125" t="str">
        <f>IF(F32&lt;F24, "Reject the null hypothesis", "Do not reject the null hypothesis")</f>
        <v>Reject the null hypothesis</v>
      </c>
      <c r="F33" s="126"/>
      <c r="G33" s="49"/>
      <c r="H33" s="138" t="s">
        <v>153</v>
      </c>
      <c r="I33" s="53"/>
      <c r="J33" s="53"/>
      <c r="K33" s="141"/>
      <c r="L33" s="49"/>
      <c r="M33" s="49"/>
      <c r="N33" s="49"/>
      <c r="O33" s="49"/>
      <c r="P33" s="49"/>
    </row>
    <row r="34" spans="1:16" x14ac:dyDescent="0.2">
      <c r="A34" t="s">
        <v>0</v>
      </c>
      <c r="B34" t="s">
        <v>57</v>
      </c>
      <c r="E34" s="49"/>
      <c r="F34" s="49"/>
      <c r="G34" s="49"/>
      <c r="H34" s="137" t="s">
        <v>166</v>
      </c>
      <c r="I34" s="53"/>
      <c r="J34" s="53"/>
      <c r="K34" s="141"/>
      <c r="L34" s="49"/>
      <c r="M34" s="49"/>
      <c r="N34" s="49"/>
      <c r="O34" s="49"/>
      <c r="P34" s="49"/>
    </row>
    <row r="35" spans="1:16" x14ac:dyDescent="0.2">
      <c r="A35" t="s">
        <v>0</v>
      </c>
      <c r="B35" t="s">
        <v>58</v>
      </c>
      <c r="E35" s="127" t="s">
        <v>124</v>
      </c>
      <c r="F35" s="49"/>
      <c r="G35" s="49"/>
      <c r="H35" s="146"/>
      <c r="I35" s="53"/>
      <c r="J35" s="53"/>
      <c r="K35" s="141"/>
      <c r="L35" s="49"/>
      <c r="M35" s="49"/>
      <c r="N35" s="49"/>
      <c r="O35" s="49"/>
      <c r="P35" s="49"/>
    </row>
    <row r="36" spans="1:16" x14ac:dyDescent="0.2">
      <c r="A36" t="s">
        <v>1</v>
      </c>
      <c r="B36" t="s">
        <v>58</v>
      </c>
      <c r="E36" s="127" t="str">
        <f>IF(OR(F19&lt;1, G19&lt;1, H19&lt;1, I19&lt;1, F20&lt;1, G20&lt;1, H20&lt;1, I20&lt;1), "       is violated.", "       is met.")</f>
        <v xml:space="preserve">       is met.</v>
      </c>
      <c r="F36" s="49"/>
      <c r="G36" s="49"/>
      <c r="H36" s="139"/>
      <c r="I36" s="140"/>
      <c r="J36" s="140"/>
      <c r="K36" s="141"/>
      <c r="L36" s="49"/>
      <c r="M36" s="49"/>
      <c r="N36" s="49"/>
      <c r="O36" s="49"/>
      <c r="P36" s="49"/>
    </row>
    <row r="37" spans="1:16" x14ac:dyDescent="0.2">
      <c r="A37" t="s">
        <v>0</v>
      </c>
      <c r="B37" t="s">
        <v>58</v>
      </c>
      <c r="E37" s="49"/>
      <c r="F37" s="49"/>
      <c r="G37" s="49"/>
      <c r="H37" s="49"/>
      <c r="K37" s="144"/>
      <c r="L37" s="49"/>
      <c r="M37" s="49"/>
      <c r="N37" s="49"/>
      <c r="O37" s="49"/>
      <c r="P37" s="49"/>
    </row>
    <row r="38" spans="1:16" x14ac:dyDescent="0.2">
      <c r="A38" t="s">
        <v>1</v>
      </c>
      <c r="B38" t="s">
        <v>60</v>
      </c>
      <c r="E38" s="99" t="s">
        <v>125</v>
      </c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</row>
    <row r="39" spans="1:16" x14ac:dyDescent="0.2">
      <c r="A39" t="s">
        <v>0</v>
      </c>
      <c r="B39" t="s">
        <v>59</v>
      </c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</row>
    <row r="40" spans="1:16" x14ac:dyDescent="0.2">
      <c r="A40" t="s">
        <v>0</v>
      </c>
      <c r="B40" t="s">
        <v>59</v>
      </c>
      <c r="E40" s="120" t="s">
        <v>117</v>
      </c>
      <c r="F40" s="120">
        <f>F24</f>
        <v>0.05</v>
      </c>
      <c r="G40" s="49"/>
      <c r="H40" s="49"/>
      <c r="I40" s="49"/>
      <c r="J40" s="49"/>
      <c r="K40" s="49"/>
      <c r="L40" s="49"/>
      <c r="M40" s="49"/>
      <c r="N40" s="49"/>
      <c r="O40" s="49"/>
      <c r="P40" s="49"/>
    </row>
    <row r="41" spans="1:16" x14ac:dyDescent="0.2">
      <c r="A41" t="s">
        <v>0</v>
      </c>
      <c r="B41" t="s">
        <v>58</v>
      </c>
      <c r="E41" s="120" t="s">
        <v>126</v>
      </c>
      <c r="F41" s="120">
        <f>SQRT(F30)</f>
        <v>2.7954834829151074</v>
      </c>
      <c r="G41" s="49"/>
      <c r="H41" s="49"/>
      <c r="I41" s="49"/>
      <c r="J41" s="49"/>
      <c r="K41" s="49"/>
      <c r="L41" s="49"/>
      <c r="M41" s="49"/>
      <c r="N41" s="49"/>
      <c r="O41" s="49"/>
      <c r="P41" s="49"/>
    </row>
    <row r="42" spans="1:16" x14ac:dyDescent="0.2">
      <c r="A42" t="s">
        <v>1</v>
      </c>
      <c r="B42" t="s">
        <v>60</v>
      </c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</row>
    <row r="43" spans="1:16" x14ac:dyDescent="0.2">
      <c r="A43" t="s">
        <v>0</v>
      </c>
      <c r="B43" t="s">
        <v>59</v>
      </c>
      <c r="E43" s="128" t="s">
        <v>127</v>
      </c>
      <c r="F43" s="128"/>
      <c r="G43" s="49"/>
      <c r="H43" s="49"/>
      <c r="I43" s="49"/>
      <c r="J43" s="49"/>
      <c r="K43" s="49"/>
      <c r="L43" s="49"/>
      <c r="M43" s="49"/>
      <c r="N43" s="49"/>
      <c r="O43" s="49"/>
      <c r="P43" s="49"/>
    </row>
    <row r="44" spans="1:16" x14ac:dyDescent="0.2">
      <c r="A44" t="s">
        <v>0</v>
      </c>
      <c r="B44" t="s">
        <v>58</v>
      </c>
      <c r="E44" s="120" t="str">
        <f>"1: " &amp; F11</f>
        <v>1: Obstetricians and Gynecologists</v>
      </c>
      <c r="F44" s="120">
        <f>F12/F14</f>
        <v>0.73913043478260865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</row>
    <row r="45" spans="1:16" x14ac:dyDescent="0.2">
      <c r="A45" t="s">
        <v>0</v>
      </c>
      <c r="B45" t="s">
        <v>59</v>
      </c>
      <c r="E45" s="120" t="str">
        <f>"2: " &amp; G11</f>
        <v>2: Orthopaedic surgeons</v>
      </c>
      <c r="F45" s="120">
        <f>G12/G14</f>
        <v>0.63013698630136983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</row>
    <row r="46" spans="1:16" x14ac:dyDescent="0.2">
      <c r="A46" t="s">
        <v>1</v>
      </c>
      <c r="B46" t="s">
        <v>58</v>
      </c>
      <c r="E46" s="120" t="str">
        <f>"3: " &amp; H11</f>
        <v>3: Anesthesiologists</v>
      </c>
      <c r="F46" s="120">
        <f>H12/H14</f>
        <v>0.76744186046511631</v>
      </c>
      <c r="G46" s="49"/>
      <c r="H46" s="49"/>
      <c r="I46" s="49"/>
      <c r="J46" s="49"/>
      <c r="K46" s="49"/>
      <c r="L46" s="49"/>
      <c r="M46" s="49"/>
      <c r="N46" s="49"/>
      <c r="O46" s="49"/>
      <c r="P46" s="49"/>
    </row>
    <row r="47" spans="1:16" x14ac:dyDescent="0.2">
      <c r="A47" t="s">
        <v>0</v>
      </c>
      <c r="B47" t="s">
        <v>58</v>
      </c>
      <c r="E47" s="120" t="str">
        <f>"4: " &amp; I11</f>
        <v>4: Dermatologists</v>
      </c>
      <c r="F47" s="120">
        <f>I12/I14</f>
        <v>0.51162790697674421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</row>
    <row r="48" spans="1:16" x14ac:dyDescent="0.2">
      <c r="A48" t="s">
        <v>0</v>
      </c>
      <c r="B48" t="s">
        <v>58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</row>
    <row r="49" spans="1:16" x14ac:dyDescent="0.2">
      <c r="A49" t="s">
        <v>0</v>
      </c>
      <c r="B49" t="s">
        <v>59</v>
      </c>
      <c r="E49" s="121" t="s">
        <v>128</v>
      </c>
      <c r="F49" s="121"/>
      <c r="G49" s="121"/>
      <c r="H49" s="49"/>
      <c r="I49" s="49"/>
      <c r="J49" s="49"/>
      <c r="K49" s="49"/>
      <c r="L49" s="49"/>
      <c r="M49" s="49"/>
      <c r="N49" s="49"/>
      <c r="O49" s="49"/>
      <c r="P49" s="49"/>
    </row>
    <row r="50" spans="1:16" x14ac:dyDescent="0.2">
      <c r="A50" t="s">
        <v>1</v>
      </c>
      <c r="B50" t="s">
        <v>60</v>
      </c>
      <c r="E50" s="122" t="s">
        <v>129</v>
      </c>
      <c r="F50" s="122" t="s">
        <v>130</v>
      </c>
      <c r="G50" s="122" t="s">
        <v>131</v>
      </c>
      <c r="H50" s="49"/>
      <c r="I50" s="49"/>
      <c r="J50" s="49"/>
      <c r="K50" s="49"/>
      <c r="L50" s="49"/>
      <c r="M50" s="49"/>
      <c r="N50" s="49"/>
      <c r="O50" s="49"/>
      <c r="P50" s="49"/>
    </row>
    <row r="51" spans="1:16" x14ac:dyDescent="0.2">
      <c r="A51" t="s">
        <v>0</v>
      </c>
      <c r="B51" t="s">
        <v>59</v>
      </c>
      <c r="E51" s="122" t="s">
        <v>132</v>
      </c>
      <c r="F51" s="122">
        <f>ABS(F44 - F45)</f>
        <v>0.10899344848123882</v>
      </c>
      <c r="G51" s="122">
        <f>F41 * SQRT(F44 * (1 - F44)/F14+F45 * (1 - F45)/G14)</f>
        <v>0.30077108768578092</v>
      </c>
      <c r="H51" s="49" t="str">
        <f>IF(F51&gt; G51, "Significant", "Not significant")</f>
        <v>Not significant</v>
      </c>
      <c r="I51" s="49"/>
      <c r="J51" s="49"/>
      <c r="K51" s="49"/>
      <c r="L51" s="49"/>
      <c r="M51" s="49"/>
      <c r="N51" s="49"/>
      <c r="O51" s="49"/>
      <c r="P51" s="49"/>
    </row>
    <row r="52" spans="1:16" x14ac:dyDescent="0.2">
      <c r="A52" t="s">
        <v>0</v>
      </c>
      <c r="B52" t="s">
        <v>59</v>
      </c>
      <c r="E52" s="122" t="s">
        <v>133</v>
      </c>
      <c r="F52" s="122">
        <f>ABS(F44 - F46)</f>
        <v>2.8311425682507663E-2</v>
      </c>
      <c r="G52" s="122">
        <f>F41 * SQRT(F44 * (1 - F44)/F14+F46 * (1 - F46)/H14)</f>
        <v>0.28588682520372871</v>
      </c>
      <c r="H52" s="49" t="str">
        <f>IF(F52&gt; G52, "Significant", "Not significant")</f>
        <v>Not significant</v>
      </c>
      <c r="I52" s="49"/>
      <c r="J52" s="49"/>
      <c r="K52" s="49"/>
      <c r="L52" s="49"/>
      <c r="M52" s="49"/>
      <c r="N52" s="49"/>
      <c r="O52" s="49"/>
      <c r="P52" s="49"/>
    </row>
    <row r="53" spans="1:16" x14ac:dyDescent="0.2">
      <c r="A53" t="s">
        <v>0</v>
      </c>
      <c r="B53" t="s">
        <v>59</v>
      </c>
      <c r="E53" s="122" t="s">
        <v>134</v>
      </c>
      <c r="F53" s="122">
        <f>ABS(F44 - F47)</f>
        <v>0.22750252780586444</v>
      </c>
      <c r="G53" s="122">
        <f>F41 * SQRT(F44 * (1 - F44)/F14+F47 * (1 - F47)/I14)</f>
        <v>0.33305157306157923</v>
      </c>
      <c r="H53" s="49" t="str">
        <f>IF(F53&gt; G53, "Significant", "Not significant")</f>
        <v>Not significant</v>
      </c>
      <c r="I53" s="49"/>
      <c r="J53" s="49"/>
      <c r="K53" s="49"/>
      <c r="L53" s="49"/>
      <c r="M53" s="49"/>
      <c r="N53" s="49"/>
      <c r="O53" s="49"/>
      <c r="P53" s="49"/>
    </row>
    <row r="54" spans="1:16" x14ac:dyDescent="0.2">
      <c r="A54" t="s">
        <v>1</v>
      </c>
      <c r="B54" t="s">
        <v>57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</row>
    <row r="55" spans="1:16" x14ac:dyDescent="0.2">
      <c r="A55" t="s">
        <v>0</v>
      </c>
      <c r="B55" t="s">
        <v>59</v>
      </c>
      <c r="E55" s="122" t="s">
        <v>135</v>
      </c>
      <c r="F55" s="122">
        <f>ABS(F45 - F46)</f>
        <v>0.13730487416374648</v>
      </c>
      <c r="G55" s="122">
        <f>F41 * SQRT(F45 * (1 - F45)/G14+F46 * (1 - F46)/H14)</f>
        <v>0.20289802260709802</v>
      </c>
      <c r="H55" s="49" t="str">
        <f>IF(F55&gt; G55, "Significant", "Not significant")</f>
        <v>Not significant</v>
      </c>
      <c r="I55" s="49"/>
      <c r="J55" s="49"/>
      <c r="K55" s="49"/>
      <c r="L55" s="49"/>
      <c r="M55" s="49"/>
      <c r="N55" s="49"/>
      <c r="O55" s="49"/>
      <c r="P55" s="49"/>
    </row>
    <row r="56" spans="1:16" x14ac:dyDescent="0.2">
      <c r="A56" t="s">
        <v>0</v>
      </c>
      <c r="B56" t="s">
        <v>59</v>
      </c>
      <c r="E56" s="122" t="s">
        <v>136</v>
      </c>
      <c r="F56" s="122">
        <f>ABS(F45 - F47)</f>
        <v>0.11850907932462562</v>
      </c>
      <c r="G56" s="122">
        <f>F41 * SQRT(F45 * (1 - F45)/G14+F47 * (1 - F47)/I14)</f>
        <v>0.26525399350734674</v>
      </c>
      <c r="H56" s="49" t="str">
        <f>IF(F56&gt; G56, "Significant", "Not significant")</f>
        <v>Not significant</v>
      </c>
      <c r="I56" s="49"/>
      <c r="J56" s="49"/>
      <c r="K56" s="49"/>
      <c r="L56" s="49"/>
      <c r="M56" s="49"/>
      <c r="N56" s="49"/>
      <c r="O56" s="49"/>
      <c r="P56" s="49"/>
    </row>
    <row r="57" spans="1:16" x14ac:dyDescent="0.2">
      <c r="A57" t="s">
        <v>1</v>
      </c>
      <c r="B57" t="s">
        <v>58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</row>
    <row r="58" spans="1:16" x14ac:dyDescent="0.2">
      <c r="A58" t="s">
        <v>1</v>
      </c>
      <c r="B58" t="s">
        <v>60</v>
      </c>
      <c r="E58" s="122" t="s">
        <v>137</v>
      </c>
      <c r="F58" s="122">
        <f>ABS(F46 - F47)</f>
        <v>0.2558139534883721</v>
      </c>
      <c r="G58" s="122">
        <f>F41 * SQRT(F46 * (1 - F46)/H14+F47 * (1 - F47)/I14)</f>
        <v>0.2482492914571463</v>
      </c>
      <c r="H58" s="49" t="str">
        <f>IF(F58&gt; G58, "Significant", "Not significant")</f>
        <v>Significant</v>
      </c>
      <c r="I58" s="49"/>
    </row>
    <row r="59" spans="1:16" x14ac:dyDescent="0.2">
      <c r="A59" t="s">
        <v>1</v>
      </c>
      <c r="B59" t="s">
        <v>58</v>
      </c>
      <c r="E59" s="49"/>
      <c r="F59" s="100"/>
      <c r="G59" s="100"/>
      <c r="H59" s="49"/>
      <c r="I59" s="49"/>
      <c r="J59" s="49"/>
      <c r="K59" s="49"/>
      <c r="L59" s="49"/>
      <c r="M59" s="49"/>
      <c r="N59" s="49"/>
      <c r="O59" s="49"/>
      <c r="P59" s="49"/>
    </row>
    <row r="60" spans="1:16" ht="17" thickBot="1" x14ac:dyDescent="0.25">
      <c r="A60" t="s">
        <v>0</v>
      </c>
      <c r="B60" t="s">
        <v>59</v>
      </c>
    </row>
    <row r="61" spans="1:16" ht="17" thickBot="1" x14ac:dyDescent="0.25">
      <c r="A61" t="s">
        <v>0</v>
      </c>
      <c r="B61" t="s">
        <v>59</v>
      </c>
      <c r="E61" s="134" t="s">
        <v>168</v>
      </c>
      <c r="F61" s="135"/>
      <c r="G61" s="135"/>
      <c r="H61" s="135"/>
      <c r="I61" s="135"/>
      <c r="J61" s="135"/>
      <c r="K61" s="135"/>
      <c r="L61" s="136"/>
    </row>
    <row r="62" spans="1:16" x14ac:dyDescent="0.2">
      <c r="A62" t="s">
        <v>1</v>
      </c>
      <c r="B62" t="s">
        <v>60</v>
      </c>
    </row>
    <row r="63" spans="1:16" x14ac:dyDescent="0.2">
      <c r="A63" t="s">
        <v>0</v>
      </c>
      <c r="B63" t="s">
        <v>60</v>
      </c>
    </row>
    <row r="64" spans="1:16" x14ac:dyDescent="0.2">
      <c r="A64" t="s">
        <v>0</v>
      </c>
      <c r="B64" t="s">
        <v>59</v>
      </c>
    </row>
    <row r="65" spans="1:2" x14ac:dyDescent="0.2">
      <c r="A65" t="s">
        <v>0</v>
      </c>
      <c r="B65" t="s">
        <v>57</v>
      </c>
    </row>
    <row r="66" spans="1:2" x14ac:dyDescent="0.2">
      <c r="A66" t="s">
        <v>0</v>
      </c>
      <c r="B66" t="s">
        <v>59</v>
      </c>
    </row>
    <row r="67" spans="1:2" x14ac:dyDescent="0.2">
      <c r="A67" t="s">
        <v>0</v>
      </c>
      <c r="B67" t="s">
        <v>58</v>
      </c>
    </row>
    <row r="68" spans="1:2" x14ac:dyDescent="0.2">
      <c r="A68" t="s">
        <v>1</v>
      </c>
      <c r="B68" t="s">
        <v>58</v>
      </c>
    </row>
    <row r="69" spans="1:2" x14ac:dyDescent="0.2">
      <c r="A69" t="s">
        <v>0</v>
      </c>
      <c r="B69" t="s">
        <v>58</v>
      </c>
    </row>
    <row r="70" spans="1:2" x14ac:dyDescent="0.2">
      <c r="A70" t="s">
        <v>1</v>
      </c>
      <c r="B70" t="s">
        <v>58</v>
      </c>
    </row>
    <row r="71" spans="1:2" x14ac:dyDescent="0.2">
      <c r="A71" t="s">
        <v>1</v>
      </c>
      <c r="B71" t="s">
        <v>60</v>
      </c>
    </row>
    <row r="72" spans="1:2" x14ac:dyDescent="0.2">
      <c r="A72" t="s">
        <v>1</v>
      </c>
      <c r="B72" t="s">
        <v>58</v>
      </c>
    </row>
    <row r="73" spans="1:2" x14ac:dyDescent="0.2">
      <c r="A73" t="s">
        <v>0</v>
      </c>
      <c r="B73" t="s">
        <v>60</v>
      </c>
    </row>
    <row r="74" spans="1:2" x14ac:dyDescent="0.2">
      <c r="A74" t="s">
        <v>0</v>
      </c>
      <c r="B74" t="s">
        <v>57</v>
      </c>
    </row>
    <row r="75" spans="1:2" x14ac:dyDescent="0.2">
      <c r="A75" t="s">
        <v>0</v>
      </c>
      <c r="B75" t="s">
        <v>60</v>
      </c>
    </row>
    <row r="76" spans="1:2" x14ac:dyDescent="0.2">
      <c r="A76" t="s">
        <v>0</v>
      </c>
      <c r="B76" t="s">
        <v>59</v>
      </c>
    </row>
    <row r="77" spans="1:2" x14ac:dyDescent="0.2">
      <c r="A77" t="s">
        <v>0</v>
      </c>
      <c r="B77" t="s">
        <v>57</v>
      </c>
    </row>
    <row r="78" spans="1:2" x14ac:dyDescent="0.2">
      <c r="A78" t="s">
        <v>0</v>
      </c>
      <c r="B78" t="s">
        <v>60</v>
      </c>
    </row>
    <row r="79" spans="1:2" x14ac:dyDescent="0.2">
      <c r="A79" t="s">
        <v>1</v>
      </c>
      <c r="B79" t="s">
        <v>60</v>
      </c>
    </row>
    <row r="80" spans="1:2" x14ac:dyDescent="0.2">
      <c r="A80" t="s">
        <v>1</v>
      </c>
      <c r="B80" t="s">
        <v>58</v>
      </c>
    </row>
    <row r="81" spans="1:2" x14ac:dyDescent="0.2">
      <c r="A81" t="s">
        <v>1</v>
      </c>
      <c r="B81" t="s">
        <v>59</v>
      </c>
    </row>
    <row r="82" spans="1:2" x14ac:dyDescent="0.2">
      <c r="A82" t="s">
        <v>0</v>
      </c>
      <c r="B82" t="s">
        <v>59</v>
      </c>
    </row>
    <row r="83" spans="1:2" x14ac:dyDescent="0.2">
      <c r="A83" t="s">
        <v>1</v>
      </c>
      <c r="B83" t="s">
        <v>57</v>
      </c>
    </row>
    <row r="84" spans="1:2" x14ac:dyDescent="0.2">
      <c r="A84" t="s">
        <v>0</v>
      </c>
      <c r="B84" t="s">
        <v>58</v>
      </c>
    </row>
    <row r="85" spans="1:2" x14ac:dyDescent="0.2">
      <c r="A85" t="s">
        <v>1</v>
      </c>
      <c r="B85" t="s">
        <v>59</v>
      </c>
    </row>
    <row r="86" spans="1:2" x14ac:dyDescent="0.2">
      <c r="A86" t="s">
        <v>0</v>
      </c>
      <c r="B86" t="s">
        <v>58</v>
      </c>
    </row>
    <row r="87" spans="1:2" x14ac:dyDescent="0.2">
      <c r="A87" t="s">
        <v>0</v>
      </c>
      <c r="B87" t="s">
        <v>58</v>
      </c>
    </row>
    <row r="88" spans="1:2" x14ac:dyDescent="0.2">
      <c r="A88" t="s">
        <v>0</v>
      </c>
      <c r="B88" t="s">
        <v>60</v>
      </c>
    </row>
    <row r="89" spans="1:2" x14ac:dyDescent="0.2">
      <c r="A89" t="s">
        <v>0</v>
      </c>
      <c r="B89" t="s">
        <v>58</v>
      </c>
    </row>
    <row r="90" spans="1:2" x14ac:dyDescent="0.2">
      <c r="A90" t="s">
        <v>1</v>
      </c>
      <c r="B90" t="s">
        <v>60</v>
      </c>
    </row>
    <row r="91" spans="1:2" x14ac:dyDescent="0.2">
      <c r="A91" t="s">
        <v>1</v>
      </c>
      <c r="B91" t="s">
        <v>60</v>
      </c>
    </row>
    <row r="92" spans="1:2" x14ac:dyDescent="0.2">
      <c r="A92" t="s">
        <v>1</v>
      </c>
      <c r="B92" t="s">
        <v>58</v>
      </c>
    </row>
    <row r="93" spans="1:2" x14ac:dyDescent="0.2">
      <c r="A93" t="s">
        <v>1</v>
      </c>
      <c r="B93" t="s">
        <v>59</v>
      </c>
    </row>
    <row r="94" spans="1:2" x14ac:dyDescent="0.2">
      <c r="A94" t="s">
        <v>1</v>
      </c>
      <c r="B94" t="s">
        <v>59</v>
      </c>
    </row>
    <row r="95" spans="1:2" x14ac:dyDescent="0.2">
      <c r="A95" t="s">
        <v>0</v>
      </c>
      <c r="B95" t="s">
        <v>59</v>
      </c>
    </row>
    <row r="96" spans="1:2" x14ac:dyDescent="0.2">
      <c r="A96" t="s">
        <v>0</v>
      </c>
      <c r="B96" t="s">
        <v>57</v>
      </c>
    </row>
    <row r="97" spans="1:2" x14ac:dyDescent="0.2">
      <c r="A97" t="s">
        <v>0</v>
      </c>
      <c r="B97" t="s">
        <v>58</v>
      </c>
    </row>
    <row r="98" spans="1:2" x14ac:dyDescent="0.2">
      <c r="A98" t="s">
        <v>0</v>
      </c>
      <c r="B98" t="s">
        <v>58</v>
      </c>
    </row>
    <row r="99" spans="1:2" x14ac:dyDescent="0.2">
      <c r="A99" t="s">
        <v>0</v>
      </c>
      <c r="B99" t="s">
        <v>60</v>
      </c>
    </row>
    <row r="100" spans="1:2" x14ac:dyDescent="0.2">
      <c r="A100" t="s">
        <v>0</v>
      </c>
      <c r="B100" t="s">
        <v>58</v>
      </c>
    </row>
    <row r="101" spans="1:2" x14ac:dyDescent="0.2">
      <c r="A101" t="s">
        <v>1</v>
      </c>
      <c r="B101" t="s">
        <v>60</v>
      </c>
    </row>
    <row r="102" spans="1:2" x14ac:dyDescent="0.2">
      <c r="A102" t="s">
        <v>0</v>
      </c>
      <c r="B102" t="s">
        <v>59</v>
      </c>
    </row>
    <row r="103" spans="1:2" x14ac:dyDescent="0.2">
      <c r="A103" t="s">
        <v>0</v>
      </c>
      <c r="B103" t="s">
        <v>59</v>
      </c>
    </row>
    <row r="104" spans="1:2" x14ac:dyDescent="0.2">
      <c r="A104" t="s">
        <v>0</v>
      </c>
      <c r="B104" t="s">
        <v>58</v>
      </c>
    </row>
    <row r="105" spans="1:2" x14ac:dyDescent="0.2">
      <c r="A105" t="s">
        <v>0</v>
      </c>
      <c r="B105" t="s">
        <v>59</v>
      </c>
    </row>
    <row r="106" spans="1:2" x14ac:dyDescent="0.2">
      <c r="A106" t="s">
        <v>0</v>
      </c>
      <c r="B106" t="s">
        <v>58</v>
      </c>
    </row>
    <row r="107" spans="1:2" x14ac:dyDescent="0.2">
      <c r="A107" t="s">
        <v>0</v>
      </c>
      <c r="B107" t="s">
        <v>60</v>
      </c>
    </row>
    <row r="108" spans="1:2" x14ac:dyDescent="0.2">
      <c r="A108" t="s">
        <v>0</v>
      </c>
      <c r="B108" t="s">
        <v>60</v>
      </c>
    </row>
    <row r="109" spans="1:2" x14ac:dyDescent="0.2">
      <c r="A109" t="s">
        <v>1</v>
      </c>
      <c r="B109" t="s">
        <v>60</v>
      </c>
    </row>
    <row r="110" spans="1:2" x14ac:dyDescent="0.2">
      <c r="A110" t="s">
        <v>0</v>
      </c>
      <c r="B110" t="s">
        <v>58</v>
      </c>
    </row>
    <row r="111" spans="1:2" x14ac:dyDescent="0.2">
      <c r="A111" t="s">
        <v>1</v>
      </c>
      <c r="B111" t="s">
        <v>58</v>
      </c>
    </row>
    <row r="112" spans="1:2" x14ac:dyDescent="0.2">
      <c r="A112" t="s">
        <v>0</v>
      </c>
      <c r="B112" t="s">
        <v>59</v>
      </c>
    </row>
    <row r="113" spans="1:2" x14ac:dyDescent="0.2">
      <c r="A113" t="s">
        <v>0</v>
      </c>
      <c r="B113" t="s">
        <v>57</v>
      </c>
    </row>
    <row r="114" spans="1:2" x14ac:dyDescent="0.2">
      <c r="A114" t="s">
        <v>0</v>
      </c>
      <c r="B114" t="s">
        <v>60</v>
      </c>
    </row>
    <row r="115" spans="1:2" x14ac:dyDescent="0.2">
      <c r="A115" t="s">
        <v>0</v>
      </c>
      <c r="B115" t="s">
        <v>58</v>
      </c>
    </row>
    <row r="116" spans="1:2" x14ac:dyDescent="0.2">
      <c r="A116" t="s">
        <v>0</v>
      </c>
      <c r="B116" t="s">
        <v>59</v>
      </c>
    </row>
    <row r="117" spans="1:2" x14ac:dyDescent="0.2">
      <c r="A117" t="s">
        <v>0</v>
      </c>
      <c r="B117" t="s">
        <v>57</v>
      </c>
    </row>
    <row r="118" spans="1:2" x14ac:dyDescent="0.2">
      <c r="A118" t="s">
        <v>1</v>
      </c>
      <c r="B118" t="s">
        <v>59</v>
      </c>
    </row>
    <row r="119" spans="1:2" x14ac:dyDescent="0.2">
      <c r="A119" t="s">
        <v>0</v>
      </c>
      <c r="B119" t="s">
        <v>58</v>
      </c>
    </row>
    <row r="120" spans="1:2" x14ac:dyDescent="0.2">
      <c r="A120" t="s">
        <v>0</v>
      </c>
      <c r="B120" t="s">
        <v>59</v>
      </c>
    </row>
    <row r="121" spans="1:2" x14ac:dyDescent="0.2">
      <c r="A121" t="s">
        <v>1</v>
      </c>
      <c r="B121" t="s">
        <v>58</v>
      </c>
    </row>
    <row r="122" spans="1:2" x14ac:dyDescent="0.2">
      <c r="A122" t="s">
        <v>1</v>
      </c>
      <c r="B122" t="s">
        <v>59</v>
      </c>
    </row>
    <row r="123" spans="1:2" x14ac:dyDescent="0.2">
      <c r="A123" t="s">
        <v>0</v>
      </c>
      <c r="B123" t="s">
        <v>58</v>
      </c>
    </row>
    <row r="124" spans="1:2" x14ac:dyDescent="0.2">
      <c r="A124" t="s">
        <v>0</v>
      </c>
      <c r="B124" t="s">
        <v>59</v>
      </c>
    </row>
    <row r="125" spans="1:2" x14ac:dyDescent="0.2">
      <c r="A125" t="s">
        <v>0</v>
      </c>
      <c r="B125" t="s">
        <v>57</v>
      </c>
    </row>
    <row r="126" spans="1:2" x14ac:dyDescent="0.2">
      <c r="A126" t="s">
        <v>0</v>
      </c>
      <c r="B126" t="s">
        <v>58</v>
      </c>
    </row>
    <row r="127" spans="1:2" x14ac:dyDescent="0.2">
      <c r="A127" t="s">
        <v>0</v>
      </c>
      <c r="B127" t="s">
        <v>60</v>
      </c>
    </row>
    <row r="128" spans="1:2" x14ac:dyDescent="0.2">
      <c r="A128" t="s">
        <v>0</v>
      </c>
      <c r="B128" t="s">
        <v>59</v>
      </c>
    </row>
    <row r="129" spans="1:2" x14ac:dyDescent="0.2">
      <c r="A129" t="s">
        <v>0</v>
      </c>
      <c r="B129" t="s">
        <v>59</v>
      </c>
    </row>
    <row r="130" spans="1:2" x14ac:dyDescent="0.2">
      <c r="A130" t="s">
        <v>0</v>
      </c>
      <c r="B130" t="s">
        <v>59</v>
      </c>
    </row>
    <row r="131" spans="1:2" x14ac:dyDescent="0.2">
      <c r="A131" t="s">
        <v>1</v>
      </c>
      <c r="B131" t="s">
        <v>58</v>
      </c>
    </row>
    <row r="132" spans="1:2" x14ac:dyDescent="0.2">
      <c r="A132" t="s">
        <v>0</v>
      </c>
      <c r="B132" t="s">
        <v>60</v>
      </c>
    </row>
    <row r="133" spans="1:2" x14ac:dyDescent="0.2">
      <c r="A133" t="s">
        <v>1</v>
      </c>
      <c r="B133" t="s">
        <v>59</v>
      </c>
    </row>
    <row r="134" spans="1:2" x14ac:dyDescent="0.2">
      <c r="A134" t="s">
        <v>0</v>
      </c>
      <c r="B134" t="s">
        <v>59</v>
      </c>
    </row>
    <row r="135" spans="1:2" x14ac:dyDescent="0.2">
      <c r="A135" t="s">
        <v>0</v>
      </c>
      <c r="B135" t="s">
        <v>57</v>
      </c>
    </row>
    <row r="136" spans="1:2" x14ac:dyDescent="0.2">
      <c r="A136" t="s">
        <v>0</v>
      </c>
      <c r="B136" t="s">
        <v>60</v>
      </c>
    </row>
    <row r="137" spans="1:2" x14ac:dyDescent="0.2">
      <c r="A137" t="s">
        <v>0</v>
      </c>
      <c r="B137" t="s">
        <v>59</v>
      </c>
    </row>
    <row r="138" spans="1:2" x14ac:dyDescent="0.2">
      <c r="A138" t="s">
        <v>1</v>
      </c>
      <c r="B138" t="s">
        <v>59</v>
      </c>
    </row>
    <row r="139" spans="1:2" x14ac:dyDescent="0.2">
      <c r="A139" t="s">
        <v>0</v>
      </c>
      <c r="B139" t="s">
        <v>59</v>
      </c>
    </row>
    <row r="140" spans="1:2" x14ac:dyDescent="0.2">
      <c r="A140" t="s">
        <v>0</v>
      </c>
      <c r="B140" t="s">
        <v>60</v>
      </c>
    </row>
    <row r="141" spans="1:2" x14ac:dyDescent="0.2">
      <c r="A141" t="s">
        <v>0</v>
      </c>
      <c r="B141" t="s">
        <v>59</v>
      </c>
    </row>
    <row r="142" spans="1:2" x14ac:dyDescent="0.2">
      <c r="A142" t="s">
        <v>0</v>
      </c>
      <c r="B142" t="s">
        <v>58</v>
      </c>
    </row>
    <row r="143" spans="1:2" x14ac:dyDescent="0.2">
      <c r="A143" t="s">
        <v>1</v>
      </c>
      <c r="B143" t="s">
        <v>58</v>
      </c>
    </row>
    <row r="144" spans="1:2" x14ac:dyDescent="0.2">
      <c r="A144" t="s">
        <v>0</v>
      </c>
      <c r="B144" t="s">
        <v>59</v>
      </c>
    </row>
    <row r="145" spans="1:2" x14ac:dyDescent="0.2">
      <c r="A145" t="s">
        <v>1</v>
      </c>
      <c r="B145" t="s">
        <v>58</v>
      </c>
    </row>
    <row r="146" spans="1:2" x14ac:dyDescent="0.2">
      <c r="A146" t="s">
        <v>1</v>
      </c>
      <c r="B146" t="s">
        <v>59</v>
      </c>
    </row>
    <row r="147" spans="1:2" x14ac:dyDescent="0.2">
      <c r="A147" t="s">
        <v>0</v>
      </c>
      <c r="B147" t="s">
        <v>59</v>
      </c>
    </row>
    <row r="148" spans="1:2" x14ac:dyDescent="0.2">
      <c r="A148" t="s">
        <v>0</v>
      </c>
      <c r="B148" t="s">
        <v>60</v>
      </c>
    </row>
    <row r="149" spans="1:2" x14ac:dyDescent="0.2">
      <c r="A149" t="s">
        <v>0</v>
      </c>
      <c r="B149" t="s">
        <v>58</v>
      </c>
    </row>
    <row r="150" spans="1:2" x14ac:dyDescent="0.2">
      <c r="A150" t="s">
        <v>0</v>
      </c>
      <c r="B150" t="s">
        <v>60</v>
      </c>
    </row>
    <row r="151" spans="1:2" x14ac:dyDescent="0.2">
      <c r="A151" t="s">
        <v>0</v>
      </c>
      <c r="B151" t="s">
        <v>60</v>
      </c>
    </row>
    <row r="152" spans="1:2" x14ac:dyDescent="0.2">
      <c r="A152" t="s">
        <v>1</v>
      </c>
      <c r="B152" t="s">
        <v>60</v>
      </c>
    </row>
    <row r="153" spans="1:2" x14ac:dyDescent="0.2">
      <c r="A153" t="s">
        <v>1</v>
      </c>
      <c r="B153" t="s">
        <v>58</v>
      </c>
    </row>
    <row r="154" spans="1:2" x14ac:dyDescent="0.2">
      <c r="A154" t="s">
        <v>0</v>
      </c>
      <c r="B154" t="s">
        <v>57</v>
      </c>
    </row>
    <row r="155" spans="1:2" x14ac:dyDescent="0.2">
      <c r="A155" t="s">
        <v>1</v>
      </c>
      <c r="B155" t="s">
        <v>60</v>
      </c>
    </row>
    <row r="156" spans="1:2" x14ac:dyDescent="0.2">
      <c r="A156" t="s">
        <v>1</v>
      </c>
      <c r="B156" t="s">
        <v>58</v>
      </c>
    </row>
    <row r="157" spans="1:2" x14ac:dyDescent="0.2">
      <c r="A157" t="s">
        <v>0</v>
      </c>
      <c r="B157" t="s">
        <v>59</v>
      </c>
    </row>
    <row r="158" spans="1:2" x14ac:dyDescent="0.2">
      <c r="A158" t="s">
        <v>0</v>
      </c>
      <c r="B158" t="s">
        <v>60</v>
      </c>
    </row>
    <row r="159" spans="1:2" x14ac:dyDescent="0.2">
      <c r="A159" t="s">
        <v>1</v>
      </c>
      <c r="B159" t="s">
        <v>58</v>
      </c>
    </row>
    <row r="160" spans="1:2" x14ac:dyDescent="0.2">
      <c r="A160" t="s">
        <v>1</v>
      </c>
      <c r="B160" t="s">
        <v>58</v>
      </c>
    </row>
    <row r="161" spans="1:2" x14ac:dyDescent="0.2">
      <c r="A161" t="s">
        <v>0</v>
      </c>
      <c r="B161" t="s">
        <v>60</v>
      </c>
    </row>
    <row r="162" spans="1:2" x14ac:dyDescent="0.2">
      <c r="A162" t="s">
        <v>1</v>
      </c>
      <c r="B162" t="s">
        <v>57</v>
      </c>
    </row>
    <row r="163" spans="1:2" x14ac:dyDescent="0.2">
      <c r="A163" t="s">
        <v>1</v>
      </c>
      <c r="B163" t="s">
        <v>59</v>
      </c>
    </row>
    <row r="164" spans="1:2" x14ac:dyDescent="0.2">
      <c r="A164" t="s">
        <v>0</v>
      </c>
      <c r="B164" t="s">
        <v>60</v>
      </c>
    </row>
    <row r="165" spans="1:2" x14ac:dyDescent="0.2">
      <c r="A165" t="s">
        <v>0</v>
      </c>
      <c r="B165" t="s">
        <v>58</v>
      </c>
    </row>
    <row r="166" spans="1:2" x14ac:dyDescent="0.2">
      <c r="A166" t="s">
        <v>0</v>
      </c>
      <c r="B166" t="s">
        <v>58</v>
      </c>
    </row>
    <row r="167" spans="1:2" x14ac:dyDescent="0.2">
      <c r="A167" t="s">
        <v>1</v>
      </c>
      <c r="B167" t="s">
        <v>59</v>
      </c>
    </row>
    <row r="168" spans="1:2" x14ac:dyDescent="0.2">
      <c r="A168" t="s">
        <v>1</v>
      </c>
      <c r="B168" t="s">
        <v>60</v>
      </c>
    </row>
    <row r="169" spans="1:2" x14ac:dyDescent="0.2">
      <c r="A169" t="s">
        <v>1</v>
      </c>
      <c r="B169" t="s">
        <v>59</v>
      </c>
    </row>
    <row r="170" spans="1:2" x14ac:dyDescent="0.2">
      <c r="A170" t="s">
        <v>0</v>
      </c>
      <c r="B170" t="s">
        <v>58</v>
      </c>
    </row>
    <row r="171" spans="1:2" x14ac:dyDescent="0.2">
      <c r="A171" t="s">
        <v>0</v>
      </c>
      <c r="B171" t="s">
        <v>59</v>
      </c>
    </row>
    <row r="172" spans="1:2" x14ac:dyDescent="0.2">
      <c r="A172" t="s">
        <v>0</v>
      </c>
      <c r="B172" t="s">
        <v>60</v>
      </c>
    </row>
    <row r="173" spans="1:2" x14ac:dyDescent="0.2">
      <c r="A173" t="s">
        <v>0</v>
      </c>
      <c r="B173" t="s">
        <v>59</v>
      </c>
    </row>
    <row r="174" spans="1:2" x14ac:dyDescent="0.2">
      <c r="A174" t="s">
        <v>1</v>
      </c>
      <c r="B174" t="s">
        <v>58</v>
      </c>
    </row>
    <row r="175" spans="1:2" x14ac:dyDescent="0.2">
      <c r="A175" t="s">
        <v>0</v>
      </c>
      <c r="B175" t="s">
        <v>59</v>
      </c>
    </row>
    <row r="176" spans="1:2" x14ac:dyDescent="0.2">
      <c r="A176" t="s">
        <v>1</v>
      </c>
      <c r="B176" t="s">
        <v>58</v>
      </c>
    </row>
    <row r="177" spans="1:2" x14ac:dyDescent="0.2">
      <c r="A177" t="s">
        <v>0</v>
      </c>
      <c r="B177" t="s">
        <v>58</v>
      </c>
    </row>
    <row r="178" spans="1:2" x14ac:dyDescent="0.2">
      <c r="A178" t="s">
        <v>0</v>
      </c>
      <c r="B178" t="s">
        <v>59</v>
      </c>
    </row>
    <row r="179" spans="1:2" x14ac:dyDescent="0.2">
      <c r="A179" t="s">
        <v>1</v>
      </c>
      <c r="B179" t="s">
        <v>60</v>
      </c>
    </row>
    <row r="180" spans="1:2" x14ac:dyDescent="0.2">
      <c r="A180" t="s">
        <v>0</v>
      </c>
      <c r="B180" t="s">
        <v>59</v>
      </c>
    </row>
    <row r="181" spans="1:2" x14ac:dyDescent="0.2">
      <c r="A181" t="s">
        <v>1</v>
      </c>
      <c r="B181" t="s">
        <v>59</v>
      </c>
    </row>
    <row r="182" spans="1:2" x14ac:dyDescent="0.2">
      <c r="A182" t="s">
        <v>1</v>
      </c>
      <c r="B182" t="s">
        <v>59</v>
      </c>
    </row>
    <row r="183" spans="1:2" x14ac:dyDescent="0.2">
      <c r="A183" t="s">
        <v>1</v>
      </c>
      <c r="B183" t="s">
        <v>60</v>
      </c>
    </row>
    <row r="184" spans="1:2" x14ac:dyDescent="0.2">
      <c r="A184" t="s">
        <v>0</v>
      </c>
      <c r="B184" t="s">
        <v>58</v>
      </c>
    </row>
    <row r="185" spans="1:2" x14ac:dyDescent="0.2">
      <c r="A185" t="s">
        <v>0</v>
      </c>
      <c r="B185" t="s">
        <v>59</v>
      </c>
    </row>
    <row r="186" spans="1:2" x14ac:dyDescent="0.2">
      <c r="A186" t="s">
        <v>1</v>
      </c>
      <c r="B186" t="s">
        <v>58</v>
      </c>
    </row>
    <row r="187" spans="1:2" x14ac:dyDescent="0.2">
      <c r="A187" t="s">
        <v>1</v>
      </c>
      <c r="B187" t="s">
        <v>60</v>
      </c>
    </row>
    <row r="188" spans="1:2" x14ac:dyDescent="0.2">
      <c r="A188" t="s">
        <v>0</v>
      </c>
      <c r="B188" t="s">
        <v>59</v>
      </c>
    </row>
    <row r="189" spans="1:2" x14ac:dyDescent="0.2">
      <c r="A189" t="s">
        <v>0</v>
      </c>
      <c r="B189" t="s">
        <v>57</v>
      </c>
    </row>
    <row r="190" spans="1:2" x14ac:dyDescent="0.2">
      <c r="A190" t="s">
        <v>0</v>
      </c>
      <c r="B190" t="s">
        <v>58</v>
      </c>
    </row>
    <row r="191" spans="1:2" x14ac:dyDescent="0.2">
      <c r="A191" t="s">
        <v>0</v>
      </c>
      <c r="B191" t="s">
        <v>57</v>
      </c>
    </row>
    <row r="192" spans="1:2" x14ac:dyDescent="0.2">
      <c r="A192" t="s">
        <v>0</v>
      </c>
      <c r="B192" t="s">
        <v>59</v>
      </c>
    </row>
    <row r="193" spans="1:2" x14ac:dyDescent="0.2">
      <c r="A193" t="s">
        <v>1</v>
      </c>
      <c r="B193" t="s">
        <v>59</v>
      </c>
    </row>
    <row r="194" spans="1:2" x14ac:dyDescent="0.2">
      <c r="A194" t="s">
        <v>1</v>
      </c>
      <c r="B194" t="s">
        <v>58</v>
      </c>
    </row>
    <row r="195" spans="1:2" x14ac:dyDescent="0.2">
      <c r="A195" t="s">
        <v>1</v>
      </c>
      <c r="B195" t="s">
        <v>59</v>
      </c>
    </row>
    <row r="196" spans="1:2" x14ac:dyDescent="0.2">
      <c r="A196" t="s">
        <v>0</v>
      </c>
      <c r="B196" t="s">
        <v>59</v>
      </c>
    </row>
    <row r="197" spans="1:2" x14ac:dyDescent="0.2">
      <c r="A197" t="s">
        <v>0</v>
      </c>
      <c r="B197" t="s">
        <v>59</v>
      </c>
    </row>
    <row r="198" spans="1:2" x14ac:dyDescent="0.2">
      <c r="A198" t="s">
        <v>0</v>
      </c>
      <c r="B198" t="s">
        <v>58</v>
      </c>
    </row>
    <row r="199" spans="1:2" x14ac:dyDescent="0.2">
      <c r="A199" t="s">
        <v>1</v>
      </c>
      <c r="B199" t="s">
        <v>60</v>
      </c>
    </row>
    <row r="200" spans="1:2" x14ac:dyDescent="0.2">
      <c r="A200" t="s">
        <v>0</v>
      </c>
      <c r="B200" t="s">
        <v>59</v>
      </c>
    </row>
    <row r="201" spans="1:2" x14ac:dyDescent="0.2">
      <c r="A201" t="s">
        <v>0</v>
      </c>
      <c r="B201" t="s">
        <v>58</v>
      </c>
    </row>
    <row r="202" spans="1:2" x14ac:dyDescent="0.2">
      <c r="A202" t="s">
        <v>0</v>
      </c>
      <c r="B202" t="s">
        <v>59</v>
      </c>
    </row>
    <row r="203" spans="1:2" x14ac:dyDescent="0.2">
      <c r="A203" t="s">
        <v>0</v>
      </c>
      <c r="B203" t="s">
        <v>58</v>
      </c>
    </row>
    <row r="204" spans="1:2" x14ac:dyDescent="0.2">
      <c r="A204" t="s">
        <v>0</v>
      </c>
      <c r="B204" t="s">
        <v>58</v>
      </c>
    </row>
    <row r="205" spans="1:2" x14ac:dyDescent="0.2">
      <c r="A205" t="s">
        <v>1</v>
      </c>
      <c r="B205" t="s">
        <v>59</v>
      </c>
    </row>
    <row r="206" spans="1:2" x14ac:dyDescent="0.2">
      <c r="A206" t="s">
        <v>1</v>
      </c>
      <c r="B206" t="s">
        <v>59</v>
      </c>
    </row>
    <row r="207" spans="1:2" x14ac:dyDescent="0.2">
      <c r="A207" t="s">
        <v>1</v>
      </c>
      <c r="B207" t="s">
        <v>60</v>
      </c>
    </row>
    <row r="208" spans="1:2" x14ac:dyDescent="0.2">
      <c r="A208" t="s">
        <v>0</v>
      </c>
      <c r="B208" t="s">
        <v>59</v>
      </c>
    </row>
    <row r="209" spans="1:2" x14ac:dyDescent="0.2">
      <c r="A209" t="s">
        <v>0</v>
      </c>
      <c r="B209" t="s">
        <v>57</v>
      </c>
    </row>
    <row r="210" spans="1:2" x14ac:dyDescent="0.2">
      <c r="A210" t="s">
        <v>1</v>
      </c>
      <c r="B210" t="s">
        <v>58</v>
      </c>
    </row>
    <row r="211" spans="1:2" x14ac:dyDescent="0.2">
      <c r="A211" t="s">
        <v>0</v>
      </c>
      <c r="B211" t="s">
        <v>58</v>
      </c>
    </row>
    <row r="212" spans="1:2" x14ac:dyDescent="0.2">
      <c r="A212" t="s">
        <v>0</v>
      </c>
      <c r="B212" t="s">
        <v>59</v>
      </c>
    </row>
    <row r="213" spans="1:2" x14ac:dyDescent="0.2">
      <c r="A213" t="s">
        <v>1</v>
      </c>
      <c r="B213" t="s">
        <v>59</v>
      </c>
    </row>
    <row r="214" spans="1:2" x14ac:dyDescent="0.2">
      <c r="A214" t="s">
        <v>0</v>
      </c>
      <c r="B214" t="s">
        <v>59</v>
      </c>
    </row>
    <row r="215" spans="1:2" x14ac:dyDescent="0.2">
      <c r="A215" t="s">
        <v>1</v>
      </c>
      <c r="B215" t="s">
        <v>57</v>
      </c>
    </row>
    <row r="216" spans="1:2" x14ac:dyDescent="0.2">
      <c r="A216" t="s">
        <v>0</v>
      </c>
      <c r="B216" t="s">
        <v>58</v>
      </c>
    </row>
    <row r="217" spans="1:2" x14ac:dyDescent="0.2">
      <c r="A217" t="s">
        <v>1</v>
      </c>
      <c r="B217" t="s">
        <v>60</v>
      </c>
    </row>
    <row r="218" spans="1:2" x14ac:dyDescent="0.2">
      <c r="A218" t="s">
        <v>0</v>
      </c>
      <c r="B218" t="s">
        <v>58</v>
      </c>
    </row>
    <row r="219" spans="1:2" x14ac:dyDescent="0.2">
      <c r="A219" t="s">
        <v>0</v>
      </c>
      <c r="B219" t="s">
        <v>59</v>
      </c>
    </row>
    <row r="220" spans="1:2" x14ac:dyDescent="0.2">
      <c r="A220" t="s">
        <v>0</v>
      </c>
      <c r="B220" t="s">
        <v>59</v>
      </c>
    </row>
    <row r="221" spans="1:2" x14ac:dyDescent="0.2">
      <c r="A221" t="s">
        <v>0</v>
      </c>
      <c r="B221" t="s">
        <v>58</v>
      </c>
    </row>
    <row r="222" spans="1:2" x14ac:dyDescent="0.2">
      <c r="A222" t="s">
        <v>0</v>
      </c>
      <c r="B222" t="s">
        <v>58</v>
      </c>
    </row>
    <row r="223" spans="1:2" x14ac:dyDescent="0.2">
      <c r="A223" t="s">
        <v>0</v>
      </c>
      <c r="B223" t="s">
        <v>58</v>
      </c>
    </row>
    <row r="224" spans="1:2" x14ac:dyDescent="0.2">
      <c r="A224" t="s">
        <v>1</v>
      </c>
      <c r="B224" t="s">
        <v>58</v>
      </c>
    </row>
    <row r="225" spans="1:2" x14ac:dyDescent="0.2">
      <c r="A225" t="s">
        <v>0</v>
      </c>
      <c r="B225" t="s">
        <v>59</v>
      </c>
    </row>
    <row r="226" spans="1:2" x14ac:dyDescent="0.2">
      <c r="A226" t="s">
        <v>0</v>
      </c>
      <c r="B226" t="s">
        <v>59</v>
      </c>
    </row>
  </sheetData>
  <mergeCells count="11">
    <mergeCell ref="E23:F23"/>
    <mergeCell ref="E29:F29"/>
    <mergeCell ref="E33:F33"/>
    <mergeCell ref="E43:F43"/>
    <mergeCell ref="E49:G49"/>
    <mergeCell ref="E9:J9"/>
    <mergeCell ref="F10:I10"/>
    <mergeCell ref="L11:O11"/>
    <mergeCell ref="E16:J16"/>
    <mergeCell ref="F17:I17"/>
    <mergeCell ref="L18:O18"/>
  </mergeCells>
  <conditionalFormatting sqref="H50:H59">
    <cfRule type="containsText" dxfId="9" priority="1" operator="containsText" text="Not significant">
      <formula>NOT(ISERROR(SEARCH("Not significant",H50)))</formula>
    </cfRule>
    <cfRule type="containsText" dxfId="8" priority="2" operator="containsText" text="Significant">
      <formula>NOT(ISERROR(SEARCH("Significant",H50)))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6D99-69C4-ED4C-8E56-71CFE7940A2E}">
  <dimension ref="A3:I36"/>
  <sheetViews>
    <sheetView workbookViewId="0">
      <selection activeCell="J6" sqref="J6"/>
    </sheetView>
  </sheetViews>
  <sheetFormatPr baseColWidth="10" defaultRowHeight="15" x14ac:dyDescent="0.2"/>
  <cols>
    <col min="1" max="1" width="22" style="129" bestFit="1" customWidth="1"/>
    <col min="2" max="2" width="17" style="129" bestFit="1" customWidth="1"/>
    <col min="3" max="3" width="11.1640625" style="129" bestFit="1" customWidth="1"/>
    <col min="4" max="5" width="8.6640625" style="129" bestFit="1" customWidth="1"/>
    <col min="6" max="6" width="19.33203125" style="129" bestFit="1" customWidth="1"/>
    <col min="7" max="7" width="10" style="129" bestFit="1" customWidth="1"/>
    <col min="8" max="16384" width="10.83203125" style="129"/>
  </cols>
  <sheetData>
    <row r="3" spans="1:8" x14ac:dyDescent="0.2">
      <c r="A3" s="129" t="s">
        <v>139</v>
      </c>
      <c r="B3" s="129" t="s">
        <v>140</v>
      </c>
    </row>
    <row r="4" spans="1:8" x14ac:dyDescent="0.2">
      <c r="A4" s="129" t="s">
        <v>141</v>
      </c>
      <c r="B4" s="129" t="s">
        <v>142</v>
      </c>
      <c r="C4" s="129" t="s">
        <v>143</v>
      </c>
      <c r="D4" s="129" t="s">
        <v>0</v>
      </c>
      <c r="E4" s="129" t="s">
        <v>144</v>
      </c>
      <c r="F4" s="129" t="s">
        <v>145</v>
      </c>
      <c r="G4" s="129" t="s">
        <v>146</v>
      </c>
    </row>
    <row r="5" spans="1:8" x14ac:dyDescent="0.2">
      <c r="A5" s="130" t="s">
        <v>1</v>
      </c>
      <c r="B5" s="131">
        <v>70952.05857142857</v>
      </c>
      <c r="C5" s="131">
        <v>64526.77714285715</v>
      </c>
      <c r="D5" s="131">
        <v>72409.913953488372</v>
      </c>
      <c r="E5" s="131">
        <v>50231.067857142851</v>
      </c>
      <c r="F5" s="131">
        <v>40922.230000000003</v>
      </c>
      <c r="G5" s="131">
        <v>66053.780945945939</v>
      </c>
    </row>
    <row r="6" spans="1:8" x14ac:dyDescent="0.2">
      <c r="A6" s="130" t="s">
        <v>0</v>
      </c>
      <c r="B6" s="131">
        <v>70080.780624999999</v>
      </c>
      <c r="C6" s="131">
        <v>89818.363636363632</v>
      </c>
      <c r="D6" s="131">
        <v>87067.314545454545</v>
      </c>
      <c r="E6" s="131">
        <v>79813.060370370367</v>
      </c>
      <c r="F6" s="131">
        <v>80704.027499999997</v>
      </c>
      <c r="G6" s="131">
        <v>82705.023973509931</v>
      </c>
    </row>
    <row r="7" spans="1:8" x14ac:dyDescent="0.2">
      <c r="A7" s="130" t="s">
        <v>146</v>
      </c>
      <c r="B7" s="131">
        <v>70345.952173913043</v>
      </c>
      <c r="C7" s="131">
        <v>79982.746666666673</v>
      </c>
      <c r="D7" s="131">
        <v>81285.037247706408</v>
      </c>
      <c r="E7" s="131">
        <v>73722.650147058826</v>
      </c>
      <c r="F7" s="131">
        <v>63654.685714285704</v>
      </c>
      <c r="G7" s="131">
        <v>77228.615155555541</v>
      </c>
    </row>
    <row r="13" spans="1:8" ht="16" x14ac:dyDescent="0.2">
      <c r="B13" t="s">
        <v>147</v>
      </c>
      <c r="C13"/>
      <c r="D13"/>
      <c r="E13"/>
      <c r="F13"/>
      <c r="G13"/>
      <c r="H13"/>
    </row>
    <row r="14" spans="1:8" ht="17" thickBot="1" x14ac:dyDescent="0.25">
      <c r="B14"/>
      <c r="C14"/>
      <c r="D14"/>
      <c r="E14"/>
      <c r="F14"/>
      <c r="G14"/>
      <c r="H14"/>
    </row>
    <row r="15" spans="1:8" ht="16" x14ac:dyDescent="0.2">
      <c r="B15" s="52" t="s">
        <v>66</v>
      </c>
      <c r="C15" s="52" t="s">
        <v>38</v>
      </c>
      <c r="D15" s="52" t="s">
        <v>37</v>
      </c>
      <c r="E15" s="52" t="s">
        <v>68</v>
      </c>
      <c r="F15" s="52" t="s">
        <v>69</v>
      </c>
      <c r="G15"/>
      <c r="H15"/>
    </row>
    <row r="16" spans="1:8" ht="16" x14ac:dyDescent="0.2">
      <c r="B16" s="50" t="s">
        <v>1</v>
      </c>
      <c r="C16" s="50">
        <v>5</v>
      </c>
      <c r="D16" s="50">
        <v>299042.04752491694</v>
      </c>
      <c r="E16" s="50">
        <v>59808.409504983385</v>
      </c>
      <c r="F16" s="50">
        <v>188413767.84545612</v>
      </c>
      <c r="G16"/>
      <c r="H16"/>
    </row>
    <row r="17" spans="2:8" ht="16" x14ac:dyDescent="0.2">
      <c r="B17" s="50" t="s">
        <v>0</v>
      </c>
      <c r="C17" s="50">
        <v>5</v>
      </c>
      <c r="D17" s="50">
        <v>407483.54667718848</v>
      </c>
      <c r="E17" s="50">
        <v>81496.709335437699</v>
      </c>
      <c r="F17" s="50">
        <v>58517004.840396717</v>
      </c>
      <c r="G17"/>
      <c r="H17"/>
    </row>
    <row r="18" spans="2:8" ht="16" x14ac:dyDescent="0.2">
      <c r="B18" s="50"/>
      <c r="C18" s="50"/>
      <c r="D18" s="50"/>
      <c r="E18" s="50"/>
      <c r="F18" s="50"/>
      <c r="G18"/>
      <c r="H18"/>
    </row>
    <row r="19" spans="2:8" ht="16" x14ac:dyDescent="0.2">
      <c r="B19" s="50" t="s">
        <v>142</v>
      </c>
      <c r="C19" s="50">
        <v>2</v>
      </c>
      <c r="D19" s="50">
        <v>141032.83919642857</v>
      </c>
      <c r="E19" s="50">
        <v>70516.419598214285</v>
      </c>
      <c r="F19" s="50">
        <v>379562.6299663934</v>
      </c>
      <c r="G19"/>
      <c r="H19"/>
    </row>
    <row r="20" spans="2:8" ht="16" x14ac:dyDescent="0.2">
      <c r="B20" s="50" t="s">
        <v>143</v>
      </c>
      <c r="C20" s="50">
        <v>2</v>
      </c>
      <c r="D20" s="50">
        <v>154345.14077922079</v>
      </c>
      <c r="E20" s="50">
        <v>77172.570389610395</v>
      </c>
      <c r="F20" s="50">
        <v>319832173.67925835</v>
      </c>
      <c r="G20"/>
      <c r="H20"/>
    </row>
    <row r="21" spans="2:8" ht="16" x14ac:dyDescent="0.2">
      <c r="B21" s="50" t="s">
        <v>0</v>
      </c>
      <c r="C21" s="50">
        <v>2</v>
      </c>
      <c r="D21" s="50">
        <v>159477.22849894292</v>
      </c>
      <c r="E21" s="50">
        <v>79738.614249471459</v>
      </c>
      <c r="F21" s="50">
        <v>107419696.05668515</v>
      </c>
      <c r="G21"/>
      <c r="H21"/>
    </row>
    <row r="22" spans="2:8" ht="16" x14ac:dyDescent="0.2">
      <c r="B22" s="50" t="s">
        <v>144</v>
      </c>
      <c r="C22" s="50">
        <v>2</v>
      </c>
      <c r="D22" s="50">
        <v>130044.12822751323</v>
      </c>
      <c r="E22" s="50">
        <v>65022.064113756613</v>
      </c>
      <c r="F22" s="50">
        <v>437547140.52632427</v>
      </c>
      <c r="G22"/>
      <c r="H22"/>
    </row>
    <row r="23" spans="2:8" ht="17" thickBot="1" x14ac:dyDescent="0.25">
      <c r="B23" s="51" t="s">
        <v>145</v>
      </c>
      <c r="C23" s="51">
        <v>2</v>
      </c>
      <c r="D23" s="51">
        <v>121626.25750000001</v>
      </c>
      <c r="E23" s="51">
        <v>60813.128750000003</v>
      </c>
      <c r="F23" s="51">
        <v>791295706.16550159</v>
      </c>
      <c r="G23"/>
      <c r="H23"/>
    </row>
    <row r="24" spans="2:8" ht="16" x14ac:dyDescent="0.2">
      <c r="B24"/>
      <c r="C24"/>
      <c r="D24"/>
      <c r="E24"/>
      <c r="F24"/>
      <c r="G24"/>
      <c r="H24"/>
    </row>
    <row r="25" spans="2:8" ht="16" x14ac:dyDescent="0.2">
      <c r="B25"/>
      <c r="C25"/>
      <c r="D25"/>
      <c r="E25"/>
      <c r="F25"/>
      <c r="G25"/>
      <c r="H25"/>
    </row>
    <row r="26" spans="2:8" ht="17" thickBot="1" x14ac:dyDescent="0.25">
      <c r="B26" t="s">
        <v>70</v>
      </c>
      <c r="C26"/>
      <c r="D26"/>
      <c r="E26"/>
      <c r="F26"/>
      <c r="G26"/>
      <c r="H26"/>
    </row>
    <row r="27" spans="2:8" ht="16" x14ac:dyDescent="0.2">
      <c r="B27" s="52" t="s">
        <v>71</v>
      </c>
      <c r="C27" s="52" t="s">
        <v>72</v>
      </c>
      <c r="D27" s="52" t="s">
        <v>73</v>
      </c>
      <c r="E27" s="52" t="s">
        <v>74</v>
      </c>
      <c r="F27" s="52" t="s">
        <v>75</v>
      </c>
      <c r="G27" s="52" t="s">
        <v>76</v>
      </c>
      <c r="H27" s="52" t="s">
        <v>77</v>
      </c>
    </row>
    <row r="28" spans="2:8" ht="16" x14ac:dyDescent="0.2">
      <c r="B28" s="50" t="s">
        <v>148</v>
      </c>
      <c r="C28" s="50">
        <v>1175955873.8392119</v>
      </c>
      <c r="D28" s="50">
        <v>1</v>
      </c>
      <c r="E28" s="50">
        <v>1175955873.8392119</v>
      </c>
      <c r="F28" s="50">
        <v>9.7890599907774138</v>
      </c>
      <c r="G28" s="50">
        <v>3.5227805442581625E-2</v>
      </c>
      <c r="H28" s="50">
        <v>7.708647422176786</v>
      </c>
    </row>
    <row r="29" spans="2:8" ht="16" x14ac:dyDescent="0.2">
      <c r="B29" s="50" t="s">
        <v>149</v>
      </c>
      <c r="C29" s="50">
        <v>507204685.52488542</v>
      </c>
      <c r="D29" s="50">
        <v>4</v>
      </c>
      <c r="E29" s="50">
        <v>126801171.38122135</v>
      </c>
      <c r="F29" s="50">
        <v>1.0555364373487892</v>
      </c>
      <c r="G29" s="50">
        <v>0.4797414474118622</v>
      </c>
      <c r="H29" s="50">
        <v>6.38823290869587</v>
      </c>
    </row>
    <row r="30" spans="2:8" ht="16" x14ac:dyDescent="0.2">
      <c r="B30" s="50" t="s">
        <v>150</v>
      </c>
      <c r="C30" s="50">
        <v>480518405.2185266</v>
      </c>
      <c r="D30" s="50">
        <v>4</v>
      </c>
      <c r="E30" s="50">
        <v>120129601.30463165</v>
      </c>
      <c r="F30" s="50"/>
      <c r="G30" s="50"/>
      <c r="H30" s="50"/>
    </row>
    <row r="31" spans="2:8" ht="16" x14ac:dyDescent="0.2">
      <c r="B31" s="50"/>
      <c r="C31" s="50"/>
      <c r="D31" s="50"/>
      <c r="E31" s="50"/>
      <c r="F31" s="50"/>
      <c r="G31" s="50"/>
      <c r="H31" s="50"/>
    </row>
    <row r="32" spans="2:8" ht="17" thickBot="1" x14ac:dyDescent="0.25">
      <c r="B32" s="51" t="s">
        <v>80</v>
      </c>
      <c r="C32" s="51">
        <v>2163678964.582624</v>
      </c>
      <c r="D32" s="51">
        <v>9</v>
      </c>
      <c r="E32" s="51"/>
      <c r="F32" s="51"/>
      <c r="G32" s="51"/>
      <c r="H32" s="51"/>
    </row>
    <row r="34" spans="2:9" ht="16" thickBot="1" x14ac:dyDescent="0.25"/>
    <row r="35" spans="2:9" ht="17" thickBot="1" x14ac:dyDescent="0.25">
      <c r="B35" s="134" t="s">
        <v>181</v>
      </c>
      <c r="C35" s="135"/>
      <c r="D35" s="135"/>
      <c r="E35" s="135"/>
      <c r="F35" s="135"/>
      <c r="G35" s="135"/>
      <c r="H35" s="135"/>
      <c r="I35" s="136"/>
    </row>
    <row r="36" spans="2:9" ht="17" thickBot="1" x14ac:dyDescent="0.25">
      <c r="B36" s="134" t="s">
        <v>182</v>
      </c>
      <c r="C36" s="135"/>
      <c r="D36" s="135"/>
      <c r="E36" s="135"/>
      <c r="F36" s="135"/>
      <c r="G36" s="135"/>
      <c r="H36" s="135"/>
      <c r="I36" s="1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74DA-A727-9840-8FF7-2D108B4EEFDD}">
  <dimension ref="A1:S87"/>
  <sheetViews>
    <sheetView topLeftCell="A29" zoomScale="63" zoomScaleNormal="100" workbookViewId="0">
      <selection activeCell="L8" sqref="L8"/>
    </sheetView>
  </sheetViews>
  <sheetFormatPr baseColWidth="10" defaultRowHeight="16" x14ac:dyDescent="0.2"/>
  <cols>
    <col min="1" max="1" width="30.6640625" customWidth="1"/>
    <col min="2" max="2" width="28.33203125" customWidth="1"/>
    <col min="3" max="3" width="41.33203125" customWidth="1"/>
    <col min="4" max="4" width="33.83203125" customWidth="1"/>
    <col min="6" max="6" width="10.83203125" customWidth="1"/>
    <col min="7" max="7" width="24.33203125" customWidth="1"/>
    <col min="8" max="8" width="19" customWidth="1"/>
    <col min="9" max="9" width="20.33203125" customWidth="1"/>
    <col min="10" max="10" width="32.5" customWidth="1"/>
    <col min="11" max="11" width="25" customWidth="1"/>
    <col min="12" max="12" width="16.5" customWidth="1"/>
    <col min="13" max="13" width="15" customWidth="1"/>
  </cols>
  <sheetData>
    <row r="1" spans="1:11" x14ac:dyDescent="0.2">
      <c r="A1" s="1" t="s">
        <v>61</v>
      </c>
      <c r="B1" s="1" t="s">
        <v>62</v>
      </c>
      <c r="C1" s="1" t="s">
        <v>63</v>
      </c>
      <c r="D1" s="1" t="s">
        <v>64</v>
      </c>
    </row>
    <row r="2" spans="1:11" ht="17" thickBot="1" x14ac:dyDescent="0.25">
      <c r="A2" s="2">
        <v>99113.71</v>
      </c>
      <c r="B2" s="2">
        <v>79921.48</v>
      </c>
      <c r="C2" s="2">
        <v>61604.84</v>
      </c>
      <c r="D2" s="2">
        <v>117792</v>
      </c>
      <c r="G2" s="77"/>
      <c r="H2" s="53"/>
      <c r="I2" s="53"/>
      <c r="J2" s="53"/>
      <c r="K2" s="53"/>
    </row>
    <row r="3" spans="1:11" ht="17" thickBot="1" x14ac:dyDescent="0.25">
      <c r="A3" s="2">
        <v>78075.19</v>
      </c>
      <c r="B3" s="2">
        <v>48047.24</v>
      </c>
      <c r="C3" s="2">
        <v>75555.820000000007</v>
      </c>
      <c r="D3" s="2">
        <v>92642.1</v>
      </c>
      <c r="G3" s="133" t="s">
        <v>156</v>
      </c>
      <c r="K3" s="53"/>
    </row>
    <row r="4" spans="1:11" x14ac:dyDescent="0.2">
      <c r="A4" s="2">
        <v>57280.38</v>
      </c>
      <c r="B4" s="2">
        <v>80645.279999999999</v>
      </c>
      <c r="C4" s="2">
        <v>101124.96</v>
      </c>
      <c r="D4" s="2">
        <v>83381</v>
      </c>
      <c r="G4" s="137"/>
      <c r="H4" s="144"/>
      <c r="I4" s="144"/>
      <c r="J4" s="145"/>
      <c r="K4" s="78"/>
    </row>
    <row r="5" spans="1:11" x14ac:dyDescent="0.2">
      <c r="A5" s="2">
        <v>16400</v>
      </c>
      <c r="B5" s="2">
        <v>67424.460000000006</v>
      </c>
      <c r="C5" s="2">
        <v>91231.33</v>
      </c>
      <c r="D5" s="2">
        <v>7800</v>
      </c>
      <c r="G5" s="138" t="s">
        <v>151</v>
      </c>
      <c r="H5" s="53"/>
      <c r="I5" s="53"/>
      <c r="J5" s="141"/>
      <c r="K5" s="50"/>
    </row>
    <row r="6" spans="1:11" x14ac:dyDescent="0.2">
      <c r="A6" s="2">
        <v>60116.24</v>
      </c>
      <c r="B6" s="2">
        <v>64883.76</v>
      </c>
      <c r="C6" s="2">
        <v>76018.990000000005</v>
      </c>
      <c r="D6" s="2">
        <v>62204.22</v>
      </c>
      <c r="G6" s="137" t="s">
        <v>169</v>
      </c>
      <c r="H6" s="53"/>
      <c r="I6" s="53"/>
      <c r="J6" s="141"/>
      <c r="K6" s="50"/>
    </row>
    <row r="7" spans="1:11" ht="18" x14ac:dyDescent="0.25">
      <c r="A7" s="2">
        <v>80618.97</v>
      </c>
      <c r="B7" s="2">
        <v>59627.97</v>
      </c>
      <c r="C7" s="2">
        <v>80150.240000000005</v>
      </c>
      <c r="D7" s="2">
        <v>68361.55</v>
      </c>
      <c r="G7" s="137" t="s">
        <v>171</v>
      </c>
      <c r="H7" s="53"/>
      <c r="I7" s="53"/>
      <c r="J7" s="141"/>
      <c r="K7" s="50"/>
    </row>
    <row r="8" spans="1:11" x14ac:dyDescent="0.2">
      <c r="A8" s="2">
        <v>60043.21</v>
      </c>
      <c r="B8" s="2">
        <v>5400</v>
      </c>
      <c r="C8" s="2">
        <v>95394</v>
      </c>
      <c r="D8" s="2">
        <v>105530</v>
      </c>
      <c r="G8" s="139"/>
      <c r="H8" s="140"/>
      <c r="I8" s="140"/>
      <c r="J8" s="142"/>
      <c r="K8" s="50"/>
    </row>
    <row r="9" spans="1:11" x14ac:dyDescent="0.2">
      <c r="A9" s="2">
        <v>49006.61</v>
      </c>
      <c r="B9" s="2">
        <v>72380.429999999993</v>
      </c>
      <c r="C9" s="2">
        <v>98834.87</v>
      </c>
      <c r="D9" s="2">
        <v>102578</v>
      </c>
      <c r="G9" s="143"/>
      <c r="J9" s="145"/>
      <c r="K9" s="50"/>
    </row>
    <row r="10" spans="1:11" x14ac:dyDescent="0.2">
      <c r="A10" s="2">
        <v>60402.53</v>
      </c>
      <c r="B10" s="2">
        <v>97036.92</v>
      </c>
      <c r="C10" s="2">
        <v>83373.899999999994</v>
      </c>
      <c r="D10" s="2">
        <v>46529.36</v>
      </c>
      <c r="G10" s="138" t="s">
        <v>153</v>
      </c>
      <c r="J10" s="141"/>
      <c r="K10" s="50"/>
    </row>
    <row r="11" spans="1:11" x14ac:dyDescent="0.2">
      <c r="A11" s="2">
        <v>2100</v>
      </c>
      <c r="B11" s="2">
        <v>69082.429999999993</v>
      </c>
      <c r="C11" s="2">
        <v>53218.22</v>
      </c>
      <c r="D11" s="2">
        <v>69990.8</v>
      </c>
      <c r="G11" s="137" t="s">
        <v>170</v>
      </c>
      <c r="J11" s="141"/>
      <c r="K11" s="50"/>
    </row>
    <row r="12" spans="1:11" x14ac:dyDescent="0.2">
      <c r="A12" s="2">
        <v>82754.929999999993</v>
      </c>
      <c r="B12" s="2">
        <v>72533.47</v>
      </c>
      <c r="C12" s="2">
        <v>83638.13</v>
      </c>
      <c r="D12" s="2">
        <v>101448.45</v>
      </c>
      <c r="G12" s="146"/>
      <c r="J12" s="141"/>
      <c r="K12" s="50"/>
    </row>
    <row r="13" spans="1:11" x14ac:dyDescent="0.2">
      <c r="A13" s="2">
        <v>74239.759999999995</v>
      </c>
      <c r="B13" s="2">
        <v>51905.62</v>
      </c>
      <c r="C13" s="2">
        <v>73617.33</v>
      </c>
      <c r="D13" s="2">
        <v>114683</v>
      </c>
      <c r="G13" s="139"/>
      <c r="H13" s="140"/>
      <c r="I13" s="140"/>
      <c r="J13" s="142"/>
      <c r="K13" s="50"/>
    </row>
    <row r="14" spans="1:11" x14ac:dyDescent="0.2">
      <c r="A14" s="2">
        <v>228724.8</v>
      </c>
      <c r="B14" s="2">
        <v>75827.710000000006</v>
      </c>
      <c r="C14" s="2">
        <v>72480.289999999994</v>
      </c>
      <c r="D14" s="2">
        <v>89719.360000000001</v>
      </c>
      <c r="G14" s="50"/>
      <c r="H14" s="50"/>
      <c r="I14" s="50"/>
      <c r="J14" s="50"/>
      <c r="K14" s="50"/>
    </row>
    <row r="15" spans="1:11" x14ac:dyDescent="0.2">
      <c r="A15" s="2">
        <v>58759.67</v>
      </c>
      <c r="B15" s="2">
        <v>68732.52</v>
      </c>
      <c r="C15" s="2">
        <v>87713.8</v>
      </c>
      <c r="D15" s="2">
        <v>85823.15</v>
      </c>
      <c r="G15" s="50"/>
      <c r="H15" s="50"/>
      <c r="I15" s="50"/>
      <c r="J15" s="50"/>
      <c r="K15" s="50"/>
    </row>
    <row r="16" spans="1:11" x14ac:dyDescent="0.2">
      <c r="A16" s="2">
        <v>96612.94</v>
      </c>
      <c r="B16" s="2">
        <v>85765.56</v>
      </c>
      <c r="C16" s="2">
        <v>92241.04</v>
      </c>
      <c r="D16" s="2">
        <v>99286</v>
      </c>
      <c r="E16" s="53"/>
      <c r="G16" s="50"/>
      <c r="H16" s="50"/>
      <c r="I16" s="50"/>
      <c r="J16" s="50"/>
      <c r="K16" s="50"/>
    </row>
    <row r="17" spans="1:13" x14ac:dyDescent="0.2">
      <c r="A17" s="2">
        <v>89477.66</v>
      </c>
      <c r="B17" s="2">
        <v>24600</v>
      </c>
      <c r="C17" s="2">
        <v>10101</v>
      </c>
      <c r="D17" s="2">
        <v>86446.49</v>
      </c>
      <c r="G17" s="50"/>
      <c r="H17" s="50"/>
      <c r="I17" s="50"/>
      <c r="J17" s="50"/>
      <c r="K17" s="50"/>
    </row>
    <row r="18" spans="1:13" x14ac:dyDescent="0.2">
      <c r="A18" s="2">
        <v>99257.74</v>
      </c>
      <c r="B18" s="2">
        <v>1547</v>
      </c>
      <c r="C18" s="2">
        <v>72570.34</v>
      </c>
      <c r="D18" s="2">
        <v>70723.05</v>
      </c>
      <c r="G18" s="50"/>
      <c r="H18" s="50"/>
      <c r="I18" s="50"/>
      <c r="J18" s="50"/>
      <c r="K18" s="50"/>
    </row>
    <row r="19" spans="1:13" x14ac:dyDescent="0.2">
      <c r="A19" s="2">
        <v>67459.039999999994</v>
      </c>
      <c r="B19" s="2">
        <v>78267.839999999997</v>
      </c>
      <c r="C19" s="2">
        <v>57068.28</v>
      </c>
      <c r="D19" s="2">
        <v>55020.28</v>
      </c>
      <c r="G19" s="53"/>
      <c r="H19" s="53"/>
      <c r="I19" s="53"/>
      <c r="J19" s="53"/>
      <c r="K19" s="53"/>
    </row>
    <row r="20" spans="1:13" x14ac:dyDescent="0.2">
      <c r="A20" s="2">
        <v>67909.52</v>
      </c>
      <c r="B20" s="2">
        <v>62497.17</v>
      </c>
      <c r="C20" s="2">
        <v>2400</v>
      </c>
      <c r="D20" s="2">
        <v>74757.45</v>
      </c>
    </row>
    <row r="21" spans="1:13" ht="17" thickBot="1" x14ac:dyDescent="0.25">
      <c r="A21" s="2">
        <v>84561.600000000006</v>
      </c>
      <c r="B21" s="2">
        <v>92892.21</v>
      </c>
      <c r="C21" s="2">
        <v>74631.67</v>
      </c>
      <c r="D21" s="2">
        <v>110269</v>
      </c>
    </row>
    <row r="22" spans="1:13" x14ac:dyDescent="0.2">
      <c r="A22" s="2">
        <v>91713.03</v>
      </c>
      <c r="B22" s="2">
        <v>98825.1</v>
      </c>
      <c r="C22" s="2">
        <v>95470.080000000002</v>
      </c>
      <c r="D22" s="2">
        <v>5400</v>
      </c>
      <c r="G22" s="54" t="s">
        <v>65</v>
      </c>
      <c r="H22" s="55"/>
      <c r="I22" s="55"/>
      <c r="J22" s="55"/>
      <c r="K22" s="55"/>
      <c r="L22" s="55"/>
      <c r="M22" s="56"/>
    </row>
    <row r="23" spans="1:13" x14ac:dyDescent="0.2">
      <c r="A23" s="2">
        <v>84954.87</v>
      </c>
      <c r="B23" s="2">
        <v>50903.67</v>
      </c>
      <c r="C23" s="2">
        <v>50722.02</v>
      </c>
      <c r="D23" s="2">
        <v>89959.28</v>
      </c>
      <c r="G23" s="57"/>
      <c r="H23" s="53"/>
      <c r="I23" s="53"/>
      <c r="J23" s="53"/>
      <c r="K23" s="53"/>
      <c r="L23" s="53"/>
      <c r="M23" s="58"/>
    </row>
    <row r="24" spans="1:13" ht="17" thickBot="1" x14ac:dyDescent="0.25">
      <c r="A24" s="2">
        <v>98196.77</v>
      </c>
      <c r="B24" s="2">
        <v>91178.240000000005</v>
      </c>
      <c r="C24" s="2">
        <v>90962.46</v>
      </c>
      <c r="D24" s="2">
        <v>74289.09</v>
      </c>
      <c r="G24" s="57" t="s">
        <v>66</v>
      </c>
      <c r="H24" s="53"/>
      <c r="I24" s="53"/>
      <c r="J24" s="53"/>
      <c r="K24" s="53"/>
      <c r="L24" s="53"/>
      <c r="M24" s="58"/>
    </row>
    <row r="25" spans="1:13" x14ac:dyDescent="0.2">
      <c r="A25" s="2">
        <v>62189.67</v>
      </c>
      <c r="B25" s="2">
        <v>68853.27</v>
      </c>
      <c r="D25" s="2">
        <v>99495.25</v>
      </c>
      <c r="G25" s="59" t="s">
        <v>67</v>
      </c>
      <c r="H25" s="52" t="s">
        <v>38</v>
      </c>
      <c r="I25" s="52" t="s">
        <v>37</v>
      </c>
      <c r="J25" s="52" t="s">
        <v>68</v>
      </c>
      <c r="K25" s="52" t="s">
        <v>69</v>
      </c>
      <c r="L25" s="53"/>
      <c r="M25" s="58"/>
    </row>
    <row r="26" spans="1:13" x14ac:dyDescent="0.2">
      <c r="A26" s="2">
        <v>74862.600000000006</v>
      </c>
      <c r="B26" s="2">
        <v>81617.78</v>
      </c>
      <c r="D26" s="2">
        <v>119075</v>
      </c>
      <c r="G26" s="61" t="s">
        <v>61</v>
      </c>
      <c r="H26" s="50">
        <v>86</v>
      </c>
      <c r="I26" s="50">
        <v>6285493.4100000011</v>
      </c>
      <c r="J26" s="50">
        <v>73087.132674418623</v>
      </c>
      <c r="K26" s="50">
        <v>1096578475.5827119</v>
      </c>
      <c r="L26" s="53"/>
      <c r="M26" s="58"/>
    </row>
    <row r="27" spans="1:13" x14ac:dyDescent="0.2">
      <c r="A27" s="2">
        <v>81113.22</v>
      </c>
      <c r="B27" s="2">
        <v>67330.8</v>
      </c>
      <c r="D27" s="2">
        <v>52909.23</v>
      </c>
      <c r="G27" s="61" t="s">
        <v>62</v>
      </c>
      <c r="H27" s="50">
        <v>43</v>
      </c>
      <c r="I27" s="50">
        <v>3169617.6000000006</v>
      </c>
      <c r="J27" s="50">
        <v>73712.037209302332</v>
      </c>
      <c r="K27" s="50">
        <v>1236448751.2154286</v>
      </c>
      <c r="L27" s="53"/>
      <c r="M27" s="58"/>
    </row>
    <row r="28" spans="1:13" x14ac:dyDescent="0.2">
      <c r="A28" s="2">
        <v>58518.39</v>
      </c>
      <c r="B28" s="2">
        <v>102748.96</v>
      </c>
      <c r="D28" s="2">
        <v>94873</v>
      </c>
      <c r="G28" s="61" t="s">
        <v>63</v>
      </c>
      <c r="H28" s="50">
        <v>23</v>
      </c>
      <c r="I28" s="50">
        <v>1680123.61</v>
      </c>
      <c r="J28" s="50">
        <v>73048.852608695655</v>
      </c>
      <c r="K28" s="50">
        <v>645888118.77248383</v>
      </c>
      <c r="L28" s="53"/>
      <c r="M28" s="58"/>
    </row>
    <row r="29" spans="1:13" ht="17" thickBot="1" x14ac:dyDescent="0.25">
      <c r="A29" s="2">
        <v>69782.820000000007</v>
      </c>
      <c r="B29" s="2">
        <v>109343.01</v>
      </c>
      <c r="D29" s="2">
        <v>85983.79</v>
      </c>
      <c r="G29" s="63" t="s">
        <v>64</v>
      </c>
      <c r="H29" s="51">
        <v>73</v>
      </c>
      <c r="I29" s="51">
        <v>6241203.7899999991</v>
      </c>
      <c r="J29" s="51">
        <v>85495.942328767109</v>
      </c>
      <c r="K29" s="51">
        <v>933986304.2002852</v>
      </c>
      <c r="L29" s="53"/>
      <c r="M29" s="58"/>
    </row>
    <row r="30" spans="1:13" x14ac:dyDescent="0.2">
      <c r="A30" s="2">
        <v>55547.3</v>
      </c>
      <c r="B30" s="2">
        <v>148904.06</v>
      </c>
      <c r="D30" s="2">
        <v>70518.600000000006</v>
      </c>
      <c r="G30" s="57"/>
      <c r="H30" s="53"/>
      <c r="I30" s="53"/>
      <c r="J30" s="53"/>
      <c r="K30" s="53"/>
      <c r="L30" s="53"/>
      <c r="M30" s="58"/>
    </row>
    <row r="31" spans="1:13" x14ac:dyDescent="0.2">
      <c r="A31" s="2">
        <v>65426.85</v>
      </c>
      <c r="B31" s="2">
        <v>217600.83</v>
      </c>
      <c r="D31" s="2">
        <v>111772</v>
      </c>
      <c r="G31" s="57"/>
      <c r="H31" s="53"/>
      <c r="I31" s="53"/>
      <c r="J31" s="53"/>
      <c r="K31" s="53"/>
      <c r="L31" s="53"/>
      <c r="M31" s="58"/>
    </row>
    <row r="32" spans="1:13" ht="17" thickBot="1" x14ac:dyDescent="0.25">
      <c r="A32" s="2">
        <v>39788.74</v>
      </c>
      <c r="B32" s="2">
        <v>25084.89</v>
      </c>
      <c r="D32" s="2">
        <v>82667.25</v>
      </c>
      <c r="G32" s="57" t="s">
        <v>70</v>
      </c>
      <c r="H32" s="53"/>
      <c r="I32" s="53"/>
      <c r="J32" s="53"/>
      <c r="K32" s="53"/>
      <c r="L32" s="53"/>
      <c r="M32" s="58"/>
    </row>
    <row r="33" spans="1:19" x14ac:dyDescent="0.2">
      <c r="A33" s="2">
        <v>72572.41</v>
      </c>
      <c r="B33" s="2">
        <v>73224.179999999993</v>
      </c>
      <c r="D33" s="2">
        <v>67742.17</v>
      </c>
      <c r="G33" s="59" t="s">
        <v>71</v>
      </c>
      <c r="H33" s="52" t="s">
        <v>72</v>
      </c>
      <c r="I33" s="52" t="s">
        <v>73</v>
      </c>
      <c r="J33" s="52" t="s">
        <v>74</v>
      </c>
      <c r="K33" s="52" t="s">
        <v>75</v>
      </c>
      <c r="L33" s="52" t="s">
        <v>76</v>
      </c>
      <c r="M33" s="60" t="s">
        <v>77</v>
      </c>
    </row>
    <row r="34" spans="1:19" x14ac:dyDescent="0.2">
      <c r="A34" s="2">
        <v>81217.259999999995</v>
      </c>
      <c r="B34" s="2">
        <v>61312.44</v>
      </c>
      <c r="D34" s="2">
        <v>189470.43</v>
      </c>
      <c r="G34" s="61" t="s">
        <v>78</v>
      </c>
      <c r="H34" s="50">
        <v>7398087754.4120789</v>
      </c>
      <c r="I34" s="50">
        <v>3</v>
      </c>
      <c r="J34" s="50">
        <v>2466029251.4706931</v>
      </c>
      <c r="K34" s="50">
        <v>2.4051222990450536</v>
      </c>
      <c r="L34" s="50">
        <v>6.8288710383659731E-2</v>
      </c>
      <c r="M34" s="62">
        <v>2.6454505170343028</v>
      </c>
    </row>
    <row r="35" spans="1:19" x14ac:dyDescent="0.2">
      <c r="A35" s="2">
        <v>18204</v>
      </c>
      <c r="B35" s="2">
        <v>83606.91</v>
      </c>
      <c r="D35" s="2">
        <v>73344.75</v>
      </c>
      <c r="G35" s="61" t="s">
        <v>79</v>
      </c>
      <c r="H35" s="50">
        <v>226596570490.99365</v>
      </c>
      <c r="I35" s="50">
        <v>221</v>
      </c>
      <c r="J35" s="50">
        <v>1025323848.3755369</v>
      </c>
      <c r="K35" s="50"/>
      <c r="L35" s="50"/>
      <c r="M35" s="62"/>
    </row>
    <row r="36" spans="1:19" x14ac:dyDescent="0.2">
      <c r="A36" s="2">
        <v>67699.600000000006</v>
      </c>
      <c r="B36" s="2">
        <v>101453.21</v>
      </c>
      <c r="D36" s="2">
        <v>84462.27</v>
      </c>
      <c r="G36" s="61"/>
      <c r="H36" s="50"/>
      <c r="I36" s="50"/>
      <c r="J36" s="50"/>
      <c r="K36" s="50"/>
      <c r="L36" s="50"/>
      <c r="M36" s="62"/>
    </row>
    <row r="37" spans="1:19" ht="17" thickBot="1" x14ac:dyDescent="0.25">
      <c r="A37" s="2">
        <v>109151.46</v>
      </c>
      <c r="B37" s="2">
        <v>60285.49</v>
      </c>
      <c r="D37" s="2">
        <v>82422</v>
      </c>
      <c r="G37" s="63" t="s">
        <v>80</v>
      </c>
      <c r="H37" s="51">
        <v>233994658245.40573</v>
      </c>
      <c r="I37" s="51">
        <v>224</v>
      </c>
      <c r="J37" s="51"/>
      <c r="K37" s="51"/>
      <c r="L37" s="51"/>
      <c r="M37" s="64"/>
    </row>
    <row r="38" spans="1:19" ht="17" thickBot="1" x14ac:dyDescent="0.25">
      <c r="A38" s="2">
        <v>88260.18</v>
      </c>
      <c r="B38" s="2">
        <v>80162.899999999994</v>
      </c>
      <c r="D38" s="2">
        <v>99683.25</v>
      </c>
      <c r="G38" s="65"/>
      <c r="H38" s="66"/>
      <c r="I38" s="66"/>
      <c r="J38" s="66"/>
      <c r="K38" s="66"/>
      <c r="L38" s="66"/>
      <c r="M38" s="67"/>
    </row>
    <row r="39" spans="1:19" x14ac:dyDescent="0.2">
      <c r="A39" s="2">
        <v>77552.22</v>
      </c>
      <c r="B39" s="2">
        <v>64876.49</v>
      </c>
      <c r="D39" s="2">
        <v>104102.54</v>
      </c>
    </row>
    <row r="40" spans="1:19" x14ac:dyDescent="0.2">
      <c r="A40" s="2">
        <v>91720.04</v>
      </c>
      <c r="B40" s="2">
        <v>79079.05</v>
      </c>
      <c r="D40" s="2">
        <v>122600</v>
      </c>
      <c r="K40" t="s">
        <v>81</v>
      </c>
    </row>
    <row r="41" spans="1:19" x14ac:dyDescent="0.2">
      <c r="A41" s="2">
        <v>61285.279999999999</v>
      </c>
      <c r="B41" s="2">
        <v>96561.87</v>
      </c>
      <c r="D41" s="2">
        <v>22000</v>
      </c>
    </row>
    <row r="42" spans="1:19" ht="17" thickBot="1" x14ac:dyDescent="0.25">
      <c r="A42" s="2">
        <v>84730.66</v>
      </c>
      <c r="B42" s="2">
        <v>44708.26</v>
      </c>
      <c r="D42" s="2">
        <v>62819.39</v>
      </c>
    </row>
    <row r="43" spans="1:19" x14ac:dyDescent="0.2">
      <c r="A43" s="2">
        <v>107402.73</v>
      </c>
      <c r="B43" s="2">
        <v>32373.65</v>
      </c>
      <c r="D43" s="2">
        <v>63110.45</v>
      </c>
      <c r="G43" s="82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4"/>
    </row>
    <row r="44" spans="1:19" x14ac:dyDescent="0.2">
      <c r="A44" s="2">
        <v>114258.47</v>
      </c>
      <c r="B44" s="2">
        <v>70563.47</v>
      </c>
      <c r="D44" s="2">
        <v>69921.78</v>
      </c>
      <c r="G44" s="85" t="s">
        <v>82</v>
      </c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86"/>
    </row>
    <row r="45" spans="1:19" x14ac:dyDescent="0.2">
      <c r="A45" s="2">
        <v>63652.13</v>
      </c>
      <c r="D45" s="2">
        <v>68678.490000000005</v>
      </c>
      <c r="G45" s="87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86"/>
    </row>
    <row r="46" spans="1:19" x14ac:dyDescent="0.2">
      <c r="A46" s="2">
        <v>64900.77</v>
      </c>
      <c r="D46" s="2">
        <v>77969.039999999994</v>
      </c>
      <c r="G46" s="88"/>
      <c r="H46" s="68" t="s">
        <v>83</v>
      </c>
      <c r="I46" s="69" t="s">
        <v>83</v>
      </c>
      <c r="J46" s="79"/>
      <c r="K46" s="80"/>
      <c r="L46" s="80" t="s">
        <v>84</v>
      </c>
      <c r="M46" s="80" t="s">
        <v>85</v>
      </c>
      <c r="N46" s="80" t="s">
        <v>86</v>
      </c>
      <c r="O46" s="53"/>
      <c r="P46" s="53"/>
      <c r="Q46" s="53"/>
      <c r="R46" s="53"/>
      <c r="S46" s="86"/>
    </row>
    <row r="47" spans="1:19" x14ac:dyDescent="0.2">
      <c r="A47" s="2">
        <v>81806.59</v>
      </c>
      <c r="D47" s="2">
        <v>34252.97</v>
      </c>
      <c r="G47" s="89" t="s">
        <v>87</v>
      </c>
      <c r="H47" s="71" t="s">
        <v>26</v>
      </c>
      <c r="I47" s="72" t="s">
        <v>88</v>
      </c>
      <c r="J47" s="79"/>
      <c r="K47" s="79" t="s">
        <v>89</v>
      </c>
      <c r="L47" s="80" t="s">
        <v>90</v>
      </c>
      <c r="M47" s="80" t="s">
        <v>91</v>
      </c>
      <c r="N47" s="80" t="s">
        <v>34</v>
      </c>
      <c r="O47" s="81" t="str">
        <f>IF(H58="","Results are NOT valid until Q Statistic is entered into B15","Results")</f>
        <v>Results</v>
      </c>
      <c r="P47" s="53"/>
      <c r="Q47" s="53"/>
      <c r="R47" s="53"/>
      <c r="S47" s="86"/>
    </row>
    <row r="48" spans="1:19" x14ac:dyDescent="0.2">
      <c r="A48" s="2">
        <v>195526.04</v>
      </c>
      <c r="D48" s="2">
        <v>123433</v>
      </c>
      <c r="G48" s="90">
        <v>1</v>
      </c>
      <c r="H48" s="73">
        <v>73087.132670000006</v>
      </c>
      <c r="I48" s="73">
        <v>86</v>
      </c>
      <c r="J48" s="53"/>
      <c r="K48" s="81" t="s">
        <v>92</v>
      </c>
      <c r="L48" s="53">
        <f>ABS(H48-H49)</f>
        <v>624.90453999998863</v>
      </c>
      <c r="M48" s="53">
        <f>SQRT((H57/2)*((1/I48)+(1/I49)))</f>
        <v>4228.8953035482082</v>
      </c>
      <c r="N48" s="53">
        <f t="shared" ref="N48:N53" si="0">L48/M48</f>
        <v>0.14777016103370291</v>
      </c>
      <c r="O48" s="81" t="str">
        <f>IF(N48&gt;H58,"Means are different","Means are not different")</f>
        <v>Means are not different</v>
      </c>
      <c r="P48" s="53"/>
      <c r="Q48" s="53"/>
      <c r="R48" s="53"/>
      <c r="S48" s="86"/>
    </row>
    <row r="49" spans="1:19" x14ac:dyDescent="0.2">
      <c r="A49" s="2">
        <v>46192.639999999999</v>
      </c>
      <c r="D49" s="2">
        <v>45155.17</v>
      </c>
      <c r="G49" s="90">
        <v>2</v>
      </c>
      <c r="H49" s="73">
        <v>73712.037209999995</v>
      </c>
      <c r="I49" s="73">
        <v>43</v>
      </c>
      <c r="J49" s="53"/>
      <c r="K49" s="81" t="s">
        <v>93</v>
      </c>
      <c r="L49" s="53">
        <f>ABS(H48-H50)</f>
        <v>38.280060000004596</v>
      </c>
      <c r="M49" s="53">
        <f>SQRT((H57/2)*((1/I48)+(1/I50)))</f>
        <v>5315.1513649524522</v>
      </c>
      <c r="N49" s="53">
        <f t="shared" si="0"/>
        <v>7.202063943544351E-3</v>
      </c>
      <c r="O49" s="81" t="str">
        <f>IF(N49&gt;H58,"Means are different","Means are not different")</f>
        <v>Means are not different</v>
      </c>
      <c r="P49" s="53"/>
      <c r="Q49" s="53"/>
      <c r="R49" s="53"/>
      <c r="S49" s="86"/>
    </row>
    <row r="50" spans="1:19" x14ac:dyDescent="0.2">
      <c r="A50" s="2">
        <v>91222.51</v>
      </c>
      <c r="D50" s="2">
        <v>43119.28</v>
      </c>
      <c r="G50" s="90">
        <v>3</v>
      </c>
      <c r="H50" s="73">
        <v>73048.852610000002</v>
      </c>
      <c r="I50" s="73">
        <v>23</v>
      </c>
      <c r="J50" s="53"/>
      <c r="K50" s="81" t="s">
        <v>94</v>
      </c>
      <c r="L50" s="53">
        <f>ABS(H48-H51)</f>
        <v>12408.809659999999</v>
      </c>
      <c r="M50" s="53">
        <f>SQRT((H57/2)*((1/I48)+(1/I51)))</f>
        <v>3603.3250262753813</v>
      </c>
      <c r="N50" s="53">
        <f t="shared" si="0"/>
        <v>3.4437108974392214</v>
      </c>
      <c r="O50" s="81" t="str">
        <f>IF(N50&gt;H58,"Means are different","Means are not different")</f>
        <v>Means are not different</v>
      </c>
      <c r="P50" s="53"/>
      <c r="Q50" s="53"/>
      <c r="R50" s="53"/>
      <c r="S50" s="86"/>
    </row>
    <row r="51" spans="1:19" x14ac:dyDescent="0.2">
      <c r="A51" s="2">
        <v>66938.75</v>
      </c>
      <c r="D51" s="2">
        <v>110240</v>
      </c>
      <c r="G51" s="90">
        <v>4</v>
      </c>
      <c r="H51" s="73">
        <v>85495.942330000005</v>
      </c>
      <c r="I51" s="73">
        <v>73</v>
      </c>
      <c r="J51" s="53"/>
      <c r="K51" s="81" t="s">
        <v>95</v>
      </c>
      <c r="L51" s="53">
        <f>ABS(H49-H50)</f>
        <v>663.18459999999322</v>
      </c>
      <c r="M51" s="53">
        <f>SQRT((H57/2)*((1/I49)+(1/I50)))</f>
        <v>5849.1041361174803</v>
      </c>
      <c r="N51" s="53">
        <f t="shared" si="0"/>
        <v>0.11338225214779678</v>
      </c>
      <c r="O51" s="81" t="str">
        <f>IF(N51&gt;H58,"Means are different","Means are not different")</f>
        <v>Means are not different</v>
      </c>
      <c r="P51" s="53"/>
      <c r="Q51" s="53"/>
      <c r="R51" s="53"/>
      <c r="S51" s="86"/>
    </row>
    <row r="52" spans="1:19" x14ac:dyDescent="0.2">
      <c r="A52" s="2">
        <v>3456</v>
      </c>
      <c r="D52" s="2">
        <v>123268.21</v>
      </c>
      <c r="G52" s="87"/>
      <c r="H52" s="53"/>
      <c r="I52" s="53"/>
      <c r="J52" s="53"/>
      <c r="K52" s="81" t="s">
        <v>96</v>
      </c>
      <c r="L52" s="53">
        <f>ABS(H49-H51)</f>
        <v>11783.90512000001</v>
      </c>
      <c r="M52" s="53">
        <f>SQRT((H57/2)*((1/I49)+(1/I51)))</f>
        <v>4352.6011082768855</v>
      </c>
      <c r="N52" s="53">
        <f t="shared" si="0"/>
        <v>2.7073248448133214</v>
      </c>
      <c r="O52" s="81" t="str">
        <f>IF(N52&gt;H58,"Means are different","Means are not different")</f>
        <v>Means are not different</v>
      </c>
      <c r="P52" s="53"/>
      <c r="Q52" s="53"/>
      <c r="R52" s="53"/>
      <c r="S52" s="86"/>
    </row>
    <row r="53" spans="1:19" x14ac:dyDescent="0.2">
      <c r="A53" s="2">
        <v>68279.94</v>
      </c>
      <c r="D53" s="2">
        <v>113486</v>
      </c>
      <c r="G53" s="91" t="s">
        <v>97</v>
      </c>
      <c r="H53" s="74"/>
      <c r="I53" s="53"/>
      <c r="J53" s="53"/>
      <c r="K53" s="81" t="s">
        <v>98</v>
      </c>
      <c r="L53" s="53">
        <f>ABS(H50-H51)</f>
        <v>12447.089720000004</v>
      </c>
      <c r="M53" s="53">
        <f>SQRT((H57/2)*((1/I50)+(1/I51)))</f>
        <v>5414.0941025952807</v>
      </c>
      <c r="N53" s="53">
        <f t="shared" si="0"/>
        <v>2.2990161390126951</v>
      </c>
      <c r="O53" s="81" t="str">
        <f>IF(N53&gt;H58,"Means are different","Means are not different")</f>
        <v>Means are not different</v>
      </c>
      <c r="P53" s="53"/>
      <c r="Q53" s="53"/>
      <c r="R53" s="53"/>
      <c r="S53" s="86"/>
    </row>
    <row r="54" spans="1:19" x14ac:dyDescent="0.2">
      <c r="A54" s="2">
        <v>53869.97</v>
      </c>
      <c r="D54" s="2">
        <v>66027</v>
      </c>
      <c r="G54" s="92" t="s">
        <v>9</v>
      </c>
      <c r="H54" s="75">
        <v>0.05</v>
      </c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86"/>
    </row>
    <row r="55" spans="1:19" x14ac:dyDescent="0.2">
      <c r="A55" s="2">
        <v>92547.6</v>
      </c>
      <c r="D55" s="2">
        <v>85350.66</v>
      </c>
      <c r="G55" s="92" t="s">
        <v>99</v>
      </c>
      <c r="H55" s="75">
        <v>4</v>
      </c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86"/>
    </row>
    <row r="56" spans="1:19" x14ac:dyDescent="0.2">
      <c r="A56" s="2">
        <v>43382.38</v>
      </c>
      <c r="D56" s="2">
        <v>77412.63</v>
      </c>
      <c r="G56" s="93" t="s">
        <v>100</v>
      </c>
      <c r="H56" s="73">
        <v>221</v>
      </c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86"/>
    </row>
    <row r="57" spans="1:19" x14ac:dyDescent="0.2">
      <c r="A57" s="2">
        <v>68562.02</v>
      </c>
      <c r="D57" s="2">
        <v>116063</v>
      </c>
      <c r="G57" s="93" t="s">
        <v>101</v>
      </c>
      <c r="H57" s="73">
        <v>1025323848</v>
      </c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86"/>
    </row>
    <row r="58" spans="1:19" x14ac:dyDescent="0.2">
      <c r="A58" s="2">
        <v>99282.01</v>
      </c>
      <c r="D58" s="2">
        <v>83754.64</v>
      </c>
      <c r="G58" s="94" t="s">
        <v>102</v>
      </c>
      <c r="H58" s="76">
        <v>3.63</v>
      </c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86"/>
    </row>
    <row r="59" spans="1:19" x14ac:dyDescent="0.2">
      <c r="A59" s="2">
        <v>61540.4</v>
      </c>
      <c r="D59" s="2">
        <v>92864</v>
      </c>
      <c r="G59" s="87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86"/>
    </row>
    <row r="60" spans="1:19" ht="17" thickBot="1" x14ac:dyDescent="0.25">
      <c r="A60" s="2">
        <v>49307.93</v>
      </c>
      <c r="D60" s="2">
        <v>107121</v>
      </c>
      <c r="G60" s="95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7"/>
    </row>
    <row r="61" spans="1:19" x14ac:dyDescent="0.2">
      <c r="A61" s="2">
        <v>68527.86</v>
      </c>
      <c r="D61" s="2">
        <v>90927.56</v>
      </c>
    </row>
    <row r="62" spans="1:19" x14ac:dyDescent="0.2">
      <c r="A62" s="2">
        <v>73985.41</v>
      </c>
      <c r="D62" s="2">
        <v>99740.86</v>
      </c>
    </row>
    <row r="63" spans="1:19" ht="17" thickBot="1" x14ac:dyDescent="0.25">
      <c r="A63" s="2">
        <v>2300</v>
      </c>
      <c r="D63" s="2">
        <v>81496.740000000005</v>
      </c>
    </row>
    <row r="64" spans="1:19" ht="17" thickBot="1" x14ac:dyDescent="0.25">
      <c r="A64" s="2">
        <v>71558.03</v>
      </c>
      <c r="D64" s="2">
        <v>172708.95</v>
      </c>
      <c r="G64" s="134" t="s">
        <v>172</v>
      </c>
      <c r="H64" s="135"/>
      <c r="I64" s="135"/>
      <c r="J64" s="135"/>
      <c r="K64" s="135"/>
      <c r="L64" s="135"/>
      <c r="M64" s="135"/>
      <c r="N64" s="136"/>
    </row>
    <row r="65" spans="1:4" x14ac:dyDescent="0.2">
      <c r="A65" s="2">
        <v>59354.54</v>
      </c>
      <c r="D65" s="2">
        <v>69993.55</v>
      </c>
    </row>
    <row r="66" spans="1:4" x14ac:dyDescent="0.2">
      <c r="A66" s="2">
        <v>75161.289999999994</v>
      </c>
      <c r="D66" s="2">
        <v>69983.3</v>
      </c>
    </row>
    <row r="67" spans="1:4" x14ac:dyDescent="0.2">
      <c r="A67" s="2">
        <v>6300</v>
      </c>
      <c r="D67" s="2">
        <v>117398</v>
      </c>
    </row>
    <row r="68" spans="1:4" x14ac:dyDescent="0.2">
      <c r="A68" s="2">
        <v>5678</v>
      </c>
      <c r="D68" s="2">
        <v>57438.31</v>
      </c>
    </row>
    <row r="69" spans="1:4" x14ac:dyDescent="0.2">
      <c r="A69" s="2">
        <v>71054.23</v>
      </c>
      <c r="D69" s="2">
        <v>92337</v>
      </c>
    </row>
    <row r="70" spans="1:4" x14ac:dyDescent="0.2">
      <c r="A70" s="2">
        <v>77695</v>
      </c>
      <c r="D70" s="2">
        <v>102223</v>
      </c>
    </row>
    <row r="71" spans="1:4" x14ac:dyDescent="0.2">
      <c r="A71" s="2">
        <v>63640.79</v>
      </c>
      <c r="D71" s="2">
        <v>101920</v>
      </c>
    </row>
    <row r="72" spans="1:4" x14ac:dyDescent="0.2">
      <c r="A72" s="2">
        <v>68010.559999999998</v>
      </c>
      <c r="D72" s="2">
        <v>115650</v>
      </c>
    </row>
    <row r="73" spans="1:4" x14ac:dyDescent="0.2">
      <c r="A73" s="2">
        <v>102018.12</v>
      </c>
      <c r="D73" s="2">
        <v>67986.34</v>
      </c>
    </row>
    <row r="74" spans="1:4" x14ac:dyDescent="0.2">
      <c r="A74" s="2">
        <v>81226.66</v>
      </c>
      <c r="D74" s="2">
        <v>59598.31</v>
      </c>
    </row>
    <row r="75" spans="1:4" x14ac:dyDescent="0.2">
      <c r="A75" s="2">
        <v>86011.64</v>
      </c>
    </row>
    <row r="76" spans="1:4" x14ac:dyDescent="0.2">
      <c r="A76" s="2">
        <v>74439.62</v>
      </c>
    </row>
    <row r="77" spans="1:4" x14ac:dyDescent="0.2">
      <c r="A77" s="2">
        <v>105553.01</v>
      </c>
    </row>
    <row r="78" spans="1:4" x14ac:dyDescent="0.2">
      <c r="A78" s="2">
        <v>63417.89</v>
      </c>
    </row>
    <row r="79" spans="1:4" x14ac:dyDescent="0.2">
      <c r="A79" s="2">
        <v>104679.48</v>
      </c>
    </row>
    <row r="80" spans="1:4" x14ac:dyDescent="0.2">
      <c r="A80" s="2">
        <v>53106.47</v>
      </c>
    </row>
    <row r="81" spans="1:1" x14ac:dyDescent="0.2">
      <c r="A81" s="2">
        <v>65336.58</v>
      </c>
    </row>
    <row r="82" spans="1:1" x14ac:dyDescent="0.2">
      <c r="A82" s="2">
        <v>47833.57</v>
      </c>
    </row>
    <row r="83" spans="1:1" x14ac:dyDescent="0.2">
      <c r="A83" s="2">
        <v>87095.61</v>
      </c>
    </row>
    <row r="84" spans="1:1" x14ac:dyDescent="0.2">
      <c r="A84" s="2">
        <v>55482.61</v>
      </c>
    </row>
    <row r="85" spans="1:1" x14ac:dyDescent="0.2">
      <c r="A85" s="2">
        <v>91111.1</v>
      </c>
    </row>
    <row r="86" spans="1:1" x14ac:dyDescent="0.2">
      <c r="A86" s="2">
        <v>102271.6</v>
      </c>
    </row>
    <row r="87" spans="1:1" x14ac:dyDescent="0.2">
      <c r="A87" s="2">
        <v>103112.99</v>
      </c>
    </row>
  </sheetData>
  <mergeCells count="1">
    <mergeCell ref="G53:H5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3986-CB99-DA4B-8081-50FE40B76336}">
  <dimension ref="A1:L49"/>
  <sheetViews>
    <sheetView topLeftCell="A2" zoomScale="81" workbookViewId="0">
      <selection activeCell="A44" sqref="A44"/>
    </sheetView>
  </sheetViews>
  <sheetFormatPr baseColWidth="10" defaultRowHeight="16" x14ac:dyDescent="0.2"/>
  <cols>
    <col min="1" max="1" width="42.33203125" customWidth="1"/>
    <col min="2" max="2" width="41.1640625" customWidth="1"/>
    <col min="4" max="4" width="20" customWidth="1"/>
    <col min="5" max="5" width="25.83203125" customWidth="1"/>
    <col min="6" max="6" width="26" customWidth="1"/>
    <col min="7" max="7" width="12.6640625" bestFit="1" customWidth="1"/>
    <col min="9" max="9" width="21.33203125" customWidth="1"/>
    <col min="10" max="10" width="19.1640625" customWidth="1"/>
    <col min="11" max="11" width="19.33203125" customWidth="1"/>
    <col min="12" max="12" width="20.1640625" customWidth="1"/>
  </cols>
  <sheetData>
    <row r="1" spans="1:12" x14ac:dyDescent="0.2">
      <c r="A1" s="1" t="s">
        <v>104</v>
      </c>
      <c r="B1" s="1" t="s">
        <v>103</v>
      </c>
    </row>
    <row r="2" spans="1:12" ht="17" thickBot="1" x14ac:dyDescent="0.25">
      <c r="A2" s="2">
        <v>117792</v>
      </c>
      <c r="B2" s="2">
        <v>99113.71</v>
      </c>
    </row>
    <row r="3" spans="1:12" ht="17" thickBot="1" x14ac:dyDescent="0.25">
      <c r="A3" s="2">
        <v>92642.1</v>
      </c>
      <c r="B3" s="2">
        <v>101124.96</v>
      </c>
      <c r="D3" s="52"/>
      <c r="E3" s="52" t="s">
        <v>105</v>
      </c>
      <c r="F3" s="52" t="s">
        <v>106</v>
      </c>
      <c r="I3" s="133" t="s">
        <v>156</v>
      </c>
    </row>
    <row r="4" spans="1:12" x14ac:dyDescent="0.2">
      <c r="A4" s="2">
        <v>83381</v>
      </c>
      <c r="B4" s="2">
        <v>228724.8</v>
      </c>
      <c r="D4" s="50"/>
      <c r="E4" s="50"/>
      <c r="F4" s="50"/>
      <c r="I4" s="137"/>
      <c r="J4" s="144"/>
      <c r="K4" s="144"/>
      <c r="L4" s="145"/>
    </row>
    <row r="5" spans="1:12" x14ac:dyDescent="0.2">
      <c r="A5" s="2">
        <v>105530</v>
      </c>
      <c r="B5" s="2">
        <v>96612.94</v>
      </c>
      <c r="D5" s="50" t="s">
        <v>26</v>
      </c>
      <c r="E5" s="50">
        <v>108239.13138888888</v>
      </c>
      <c r="F5" s="50">
        <v>106234.68268292681</v>
      </c>
      <c r="I5" s="138" t="s">
        <v>151</v>
      </c>
      <c r="J5" s="53"/>
      <c r="K5" s="53"/>
      <c r="L5" s="141"/>
    </row>
    <row r="6" spans="1:12" x14ac:dyDescent="0.2">
      <c r="A6" s="2">
        <v>102578</v>
      </c>
      <c r="B6" s="2">
        <v>99257.74</v>
      </c>
      <c r="D6" s="50" t="s">
        <v>27</v>
      </c>
      <c r="E6" s="50">
        <v>3568.5584249039171</v>
      </c>
      <c r="F6" s="50">
        <v>5148.8016321273535</v>
      </c>
      <c r="I6" s="137" t="s">
        <v>174</v>
      </c>
      <c r="J6" s="53"/>
      <c r="K6" s="53"/>
      <c r="L6" s="141"/>
    </row>
    <row r="7" spans="1:12" x14ac:dyDescent="0.2">
      <c r="A7" s="2">
        <v>101448.45</v>
      </c>
      <c r="B7" s="2">
        <v>91713.03</v>
      </c>
      <c r="D7" s="50" t="s">
        <v>28</v>
      </c>
      <c r="E7" s="50">
        <v>103340.26999999999</v>
      </c>
      <c r="F7" s="50">
        <v>98825.1</v>
      </c>
      <c r="I7" s="137" t="s">
        <v>152</v>
      </c>
      <c r="J7" s="53"/>
      <c r="K7" s="53"/>
      <c r="L7" s="141"/>
    </row>
    <row r="8" spans="1:12" x14ac:dyDescent="0.2">
      <c r="A8" s="2">
        <v>114683</v>
      </c>
      <c r="B8" s="2">
        <v>98834.87</v>
      </c>
      <c r="D8" s="50" t="s">
        <v>29</v>
      </c>
      <c r="E8" s="50" t="e">
        <v>#N/A</v>
      </c>
      <c r="F8" s="50" t="e">
        <v>#N/A</v>
      </c>
      <c r="I8" s="139"/>
      <c r="J8" s="140"/>
      <c r="K8" s="140"/>
      <c r="L8" s="142"/>
    </row>
    <row r="9" spans="1:12" x14ac:dyDescent="0.2">
      <c r="A9" s="2">
        <v>89719.360000000001</v>
      </c>
      <c r="B9" s="2">
        <v>98196.77</v>
      </c>
      <c r="D9" s="50" t="s">
        <v>30</v>
      </c>
      <c r="E9" s="50">
        <v>21411.350549423503</v>
      </c>
      <c r="F9" s="50">
        <v>32968.416524408465</v>
      </c>
      <c r="I9" s="143"/>
      <c r="L9" s="145"/>
    </row>
    <row r="10" spans="1:12" x14ac:dyDescent="0.2">
      <c r="A10" s="2">
        <v>99286</v>
      </c>
      <c r="B10" s="2">
        <v>97036.92</v>
      </c>
      <c r="D10" s="50" t="s">
        <v>31</v>
      </c>
      <c r="E10" s="50">
        <v>458445932.35029799</v>
      </c>
      <c r="F10" s="50">
        <v>1086916488.1268899</v>
      </c>
      <c r="I10" s="138" t="s">
        <v>153</v>
      </c>
      <c r="L10" s="141"/>
    </row>
    <row r="11" spans="1:12" x14ac:dyDescent="0.2">
      <c r="A11" s="2">
        <v>86446.49</v>
      </c>
      <c r="B11" s="2">
        <v>109151.46</v>
      </c>
      <c r="D11" s="50" t="s">
        <v>32</v>
      </c>
      <c r="E11" s="50">
        <v>6.829356236473787</v>
      </c>
      <c r="F11" s="50">
        <v>7.7974685854856212</v>
      </c>
      <c r="I11" s="137" t="s">
        <v>173</v>
      </c>
      <c r="L11" s="141"/>
    </row>
    <row r="12" spans="1:12" x14ac:dyDescent="0.2">
      <c r="A12" s="2">
        <v>110269</v>
      </c>
      <c r="B12" s="2">
        <v>88260.18</v>
      </c>
      <c r="D12" s="50" t="s">
        <v>33</v>
      </c>
      <c r="E12" s="50">
        <v>2.280673351487343</v>
      </c>
      <c r="F12" s="50">
        <v>2.8481839538844533</v>
      </c>
      <c r="I12" s="137" t="s">
        <v>176</v>
      </c>
      <c r="L12" s="141"/>
    </row>
    <row r="13" spans="1:12" x14ac:dyDescent="0.2">
      <c r="A13" s="2">
        <v>89959.28</v>
      </c>
      <c r="B13" s="2">
        <v>92892.21</v>
      </c>
      <c r="D13" s="50" t="s">
        <v>34</v>
      </c>
      <c r="E13" s="50">
        <v>107048.43</v>
      </c>
      <c r="F13" s="50">
        <v>157166.76999999999</v>
      </c>
      <c r="I13" s="139"/>
      <c r="J13" s="140"/>
      <c r="K13" s="140"/>
      <c r="L13" s="142"/>
    </row>
    <row r="14" spans="1:12" x14ac:dyDescent="0.2">
      <c r="A14" s="2">
        <v>99495.25</v>
      </c>
      <c r="B14" s="2">
        <v>98825.1</v>
      </c>
      <c r="D14" s="50" t="s">
        <v>35</v>
      </c>
      <c r="E14" s="50">
        <v>82422</v>
      </c>
      <c r="F14" s="50">
        <v>71558.03</v>
      </c>
    </row>
    <row r="15" spans="1:12" x14ac:dyDescent="0.2">
      <c r="A15" s="2">
        <v>119075</v>
      </c>
      <c r="B15" s="2">
        <v>91720.04</v>
      </c>
      <c r="D15" s="50" t="s">
        <v>36</v>
      </c>
      <c r="E15" s="50">
        <v>189470.43</v>
      </c>
      <c r="F15" s="50">
        <v>228724.8</v>
      </c>
      <c r="I15" t="s">
        <v>155</v>
      </c>
    </row>
    <row r="16" spans="1:12" x14ac:dyDescent="0.2">
      <c r="A16" s="2">
        <v>94873</v>
      </c>
      <c r="B16" s="2">
        <v>87713.8</v>
      </c>
      <c r="D16" s="50" t="s">
        <v>37</v>
      </c>
      <c r="E16" s="50">
        <v>3896608.73</v>
      </c>
      <c r="F16" s="50">
        <v>4355621.9899999993</v>
      </c>
    </row>
    <row r="17" spans="1:7" ht="17" thickBot="1" x14ac:dyDescent="0.25">
      <c r="A17" s="2">
        <v>111772</v>
      </c>
      <c r="B17" s="2">
        <v>91178.240000000005</v>
      </c>
      <c r="D17" s="51" t="s">
        <v>38</v>
      </c>
      <c r="E17" s="51">
        <v>36</v>
      </c>
      <c r="F17" s="51">
        <v>41</v>
      </c>
    </row>
    <row r="18" spans="1:7" ht="17" thickBot="1" x14ac:dyDescent="0.25">
      <c r="A18" s="2">
        <v>189470.43</v>
      </c>
      <c r="B18" s="2">
        <v>92241.04</v>
      </c>
    </row>
    <row r="19" spans="1:7" x14ac:dyDescent="0.2">
      <c r="A19" s="2">
        <v>82422</v>
      </c>
      <c r="B19" s="2">
        <v>107402.73</v>
      </c>
      <c r="D19" s="41" t="s">
        <v>2</v>
      </c>
      <c r="E19" s="42"/>
      <c r="F19" s="42"/>
      <c r="G19" s="43"/>
    </row>
    <row r="20" spans="1:7" x14ac:dyDescent="0.2">
      <c r="A20" s="2">
        <v>99683.25</v>
      </c>
      <c r="B20" s="2">
        <v>114258.47</v>
      </c>
      <c r="D20" s="44"/>
      <c r="E20" s="45"/>
      <c r="F20" s="45"/>
      <c r="G20" s="46"/>
    </row>
    <row r="21" spans="1:7" x14ac:dyDescent="0.2">
      <c r="A21" s="2">
        <v>104102.54</v>
      </c>
      <c r="B21" s="2">
        <v>81806.59</v>
      </c>
      <c r="D21" s="35" t="s">
        <v>3</v>
      </c>
      <c r="E21" s="36"/>
      <c r="F21" s="36"/>
      <c r="G21" s="37"/>
    </row>
    <row r="22" spans="1:7" x14ac:dyDescent="0.2">
      <c r="A22" s="2">
        <v>122600</v>
      </c>
      <c r="B22" s="2">
        <v>195526.04</v>
      </c>
      <c r="D22" s="3" t="s">
        <v>4</v>
      </c>
      <c r="E22" s="4" t="s">
        <v>5</v>
      </c>
      <c r="F22" s="4" t="str">
        <f>IF(F23="&gt;","≤",IF(F23="&lt;","≥","="))</f>
        <v>≤</v>
      </c>
      <c r="G22" s="5">
        <f>G23</f>
        <v>0</v>
      </c>
    </row>
    <row r="23" spans="1:7" x14ac:dyDescent="0.2">
      <c r="A23" s="2">
        <v>123433</v>
      </c>
      <c r="B23" s="2">
        <v>81617.78</v>
      </c>
      <c r="D23" s="3" t="s">
        <v>6</v>
      </c>
      <c r="E23" s="4" t="s">
        <v>5</v>
      </c>
      <c r="F23" s="6" t="s">
        <v>7</v>
      </c>
      <c r="G23" s="7">
        <v>0</v>
      </c>
    </row>
    <row r="24" spans="1:7" x14ac:dyDescent="0.2">
      <c r="A24" s="2">
        <v>110240</v>
      </c>
      <c r="B24" s="2">
        <v>91222.51</v>
      </c>
      <c r="D24" s="8" t="s">
        <v>8</v>
      </c>
      <c r="E24" s="9"/>
      <c r="F24" s="9"/>
      <c r="G24" s="10" t="str">
        <f>IF(F23="&lt;","Lower",IF(F23="&gt;","Upper","Two"))</f>
        <v>Upper</v>
      </c>
    </row>
    <row r="25" spans="1:7" x14ac:dyDescent="0.2">
      <c r="A25" s="2">
        <v>123268.21</v>
      </c>
      <c r="B25" s="2">
        <v>102748.96</v>
      </c>
      <c r="D25" s="35" t="s">
        <v>9</v>
      </c>
      <c r="E25" s="36"/>
      <c r="F25" s="36"/>
      <c r="G25" s="37"/>
    </row>
    <row r="26" spans="1:7" x14ac:dyDescent="0.2">
      <c r="A26" s="2">
        <v>113486</v>
      </c>
      <c r="B26" s="2">
        <v>92547.6</v>
      </c>
      <c r="D26" s="11"/>
      <c r="E26" s="12"/>
      <c r="F26" s="13" t="s">
        <v>10</v>
      </c>
      <c r="G26" s="14">
        <v>0.05</v>
      </c>
    </row>
    <row r="27" spans="1:7" x14ac:dyDescent="0.2">
      <c r="A27" s="2">
        <v>116063</v>
      </c>
      <c r="B27" s="2">
        <v>109343.01</v>
      </c>
      <c r="D27" s="35" t="s">
        <v>11</v>
      </c>
      <c r="E27" s="36"/>
      <c r="F27" s="36"/>
      <c r="G27" s="37"/>
    </row>
    <row r="28" spans="1:7" x14ac:dyDescent="0.2">
      <c r="A28" s="2">
        <v>92864</v>
      </c>
      <c r="B28" s="2">
        <v>148904.06</v>
      </c>
      <c r="D28" s="28" t="s">
        <v>12</v>
      </c>
      <c r="E28" s="29"/>
      <c r="F28" s="29"/>
      <c r="G28" s="15">
        <f>G35+G39-2</f>
        <v>75</v>
      </c>
    </row>
    <row r="29" spans="1:7" x14ac:dyDescent="0.2">
      <c r="A29" s="2">
        <v>107121</v>
      </c>
      <c r="B29" s="2">
        <v>217600.83</v>
      </c>
      <c r="D29" s="28" t="str">
        <f>IF(F22="=","Lower Critical Value","Critical Value")</f>
        <v>Critical Value</v>
      </c>
      <c r="E29" s="29"/>
      <c r="F29" s="29"/>
      <c r="G29" s="16">
        <f>IF(G24="Two",-(TINV(G26,G28)),IF(G24="Lower",-(TINV(G26*2,G28)),TINV(G26*2,G28)))</f>
        <v>1.6654253733225626</v>
      </c>
    </row>
    <row r="30" spans="1:7" x14ac:dyDescent="0.2">
      <c r="A30" s="2">
        <v>90927.56</v>
      </c>
      <c r="B30" s="2">
        <v>99282.01</v>
      </c>
      <c r="D30" s="25" t="str">
        <f>IF(F22="=","Upper Critical Value","")</f>
        <v/>
      </c>
      <c r="E30" s="26"/>
      <c r="F30" s="27"/>
      <c r="G30" s="17" t="str">
        <f>IF(F22="=",-G29,"")</f>
        <v/>
      </c>
    </row>
    <row r="31" spans="1:7" x14ac:dyDescent="0.2">
      <c r="A31" s="2">
        <v>99740.86</v>
      </c>
      <c r="B31" s="2">
        <v>101453.21</v>
      </c>
      <c r="D31" s="35" t="s">
        <v>13</v>
      </c>
      <c r="E31" s="36"/>
      <c r="F31" s="36"/>
      <c r="G31" s="37"/>
    </row>
    <row r="32" spans="1:7" x14ac:dyDescent="0.2">
      <c r="A32" s="2">
        <v>172708.95</v>
      </c>
      <c r="B32" s="2">
        <v>71558.03</v>
      </c>
      <c r="D32" s="38" t="s">
        <v>14</v>
      </c>
      <c r="E32" s="39"/>
      <c r="F32" s="39"/>
      <c r="G32" s="40"/>
    </row>
    <row r="33" spans="1:7" x14ac:dyDescent="0.2">
      <c r="A33" s="2">
        <v>117398</v>
      </c>
      <c r="B33" s="2">
        <v>96561.87</v>
      </c>
      <c r="D33" s="25" t="s">
        <v>15</v>
      </c>
      <c r="E33" s="26"/>
      <c r="F33" s="27"/>
      <c r="G33" s="7">
        <v>21411.350549999999</v>
      </c>
    </row>
    <row r="34" spans="1:7" x14ac:dyDescent="0.2">
      <c r="A34" s="2">
        <v>92337</v>
      </c>
      <c r="B34" s="2">
        <v>95470.080000000002</v>
      </c>
      <c r="D34" s="25" t="s">
        <v>16</v>
      </c>
      <c r="E34" s="26"/>
      <c r="F34" s="27"/>
      <c r="G34" s="7">
        <v>108239.1314</v>
      </c>
    </row>
    <row r="35" spans="1:7" x14ac:dyDescent="0.2">
      <c r="A35" s="2">
        <v>102223</v>
      </c>
      <c r="B35" s="2">
        <v>102018.12</v>
      </c>
      <c r="D35" s="25" t="s">
        <v>17</v>
      </c>
      <c r="E35" s="26"/>
      <c r="F35" s="27"/>
      <c r="G35" s="7">
        <v>36</v>
      </c>
    </row>
    <row r="36" spans="1:7" x14ac:dyDescent="0.2">
      <c r="A36" s="2">
        <v>101920</v>
      </c>
      <c r="B36" s="2">
        <v>86011.64</v>
      </c>
      <c r="D36" s="38" t="s">
        <v>18</v>
      </c>
      <c r="E36" s="39"/>
      <c r="F36" s="39"/>
      <c r="G36" s="40"/>
    </row>
    <row r="37" spans="1:7" x14ac:dyDescent="0.2">
      <c r="A37" s="2">
        <v>115650</v>
      </c>
      <c r="B37" s="2">
        <v>105553.01</v>
      </c>
      <c r="D37" s="25" t="s">
        <v>15</v>
      </c>
      <c r="E37" s="26"/>
      <c r="F37" s="27"/>
      <c r="G37" s="7">
        <v>32968.416519999999</v>
      </c>
    </row>
    <row r="38" spans="1:7" x14ac:dyDescent="0.2">
      <c r="B38" s="2">
        <v>104679.48</v>
      </c>
      <c r="D38" s="25" t="s">
        <v>16</v>
      </c>
      <c r="E38" s="26"/>
      <c r="F38" s="27"/>
      <c r="G38" s="7">
        <v>106234.6827</v>
      </c>
    </row>
    <row r="39" spans="1:7" x14ac:dyDescent="0.2">
      <c r="B39" s="2">
        <v>90962.46</v>
      </c>
      <c r="D39" s="25" t="s">
        <v>17</v>
      </c>
      <c r="E39" s="26"/>
      <c r="F39" s="27"/>
      <c r="G39" s="7">
        <v>41</v>
      </c>
    </row>
    <row r="40" spans="1:7" x14ac:dyDescent="0.2">
      <c r="B40" s="2">
        <v>91111.1</v>
      </c>
      <c r="D40" s="32"/>
      <c r="E40" s="33"/>
      <c r="F40" s="33"/>
      <c r="G40" s="34"/>
    </row>
    <row r="41" spans="1:7" x14ac:dyDescent="0.2">
      <c r="B41" s="2">
        <v>102271.6</v>
      </c>
      <c r="D41" s="25" t="s">
        <v>19</v>
      </c>
      <c r="E41" s="26"/>
      <c r="F41" s="27"/>
      <c r="G41" s="18">
        <f>((G35-1)*G33^2+(G39-1)*G37^2)/G28</f>
        <v>793630228.62097108</v>
      </c>
    </row>
    <row r="42" spans="1:7" x14ac:dyDescent="0.2">
      <c r="B42" s="2">
        <v>103112.99</v>
      </c>
      <c r="D42" s="28" t="s">
        <v>20</v>
      </c>
      <c r="E42" s="29"/>
      <c r="F42" s="29"/>
      <c r="G42" s="17">
        <f>SQRT(G41*(1/G35+1/G39))</f>
        <v>6434.4478374429482</v>
      </c>
    </row>
    <row r="43" spans="1:7" x14ac:dyDescent="0.2">
      <c r="D43" s="30" t="s">
        <v>21</v>
      </c>
      <c r="E43" s="31"/>
      <c r="F43" s="31"/>
      <c r="G43" s="19">
        <f>((G34-G38)-G22)/G42</f>
        <v>0.31151836966271251</v>
      </c>
    </row>
    <row r="44" spans="1:7" x14ac:dyDescent="0.2">
      <c r="D44" s="28" t="s">
        <v>22</v>
      </c>
      <c r="E44" s="29"/>
      <c r="F44" s="29"/>
      <c r="G44" s="19">
        <f>IF(F22="=",TDIST(ABS(G43),G28,2),IF(G43*G29&gt;0,TDIST(ABS(G43),G28,1),1-TDIST(ABS(G43),G28,1)))</f>
        <v>0.3781354369705584</v>
      </c>
    </row>
    <row r="45" spans="1:7" x14ac:dyDescent="0.2">
      <c r="D45" s="32"/>
      <c r="E45" s="33"/>
      <c r="F45" s="33"/>
      <c r="G45" s="34"/>
    </row>
    <row r="46" spans="1:7" x14ac:dyDescent="0.2">
      <c r="D46" s="35" t="s">
        <v>23</v>
      </c>
      <c r="E46" s="36"/>
      <c r="F46" s="36"/>
      <c r="G46" s="37"/>
    </row>
    <row r="47" spans="1:7" ht="17" thickBot="1" x14ac:dyDescent="0.25">
      <c r="D47" s="22" t="str">
        <f>IF(G44&lt;G26,"Reject Null Hypothesis", "Fail to reject Null Hypothesis")</f>
        <v>Fail to reject Null Hypothesis</v>
      </c>
      <c r="E47" s="23"/>
      <c r="F47" s="23"/>
      <c r="G47" s="24"/>
    </row>
    <row r="48" spans="1:7" ht="17" thickBot="1" x14ac:dyDescent="0.25"/>
    <row r="49" spans="4:11" ht="17" thickBot="1" x14ac:dyDescent="0.25">
      <c r="D49" s="134" t="s">
        <v>175</v>
      </c>
      <c r="E49" s="135"/>
      <c r="F49" s="135"/>
      <c r="G49" s="135"/>
      <c r="H49" s="135"/>
      <c r="I49" s="135"/>
      <c r="J49" s="135"/>
      <c r="K49" s="136"/>
    </row>
  </sheetData>
  <mergeCells count="25">
    <mergeCell ref="D47:G47"/>
    <mergeCell ref="D41:F41"/>
    <mergeCell ref="D42:F42"/>
    <mergeCell ref="D43:F43"/>
    <mergeCell ref="D44:F44"/>
    <mergeCell ref="D45:G45"/>
    <mergeCell ref="D46:G46"/>
    <mergeCell ref="D35:F35"/>
    <mergeCell ref="D36:G36"/>
    <mergeCell ref="D37:F37"/>
    <mergeCell ref="D38:F38"/>
    <mergeCell ref="D39:F39"/>
    <mergeCell ref="D40:G40"/>
    <mergeCell ref="D29:F29"/>
    <mergeCell ref="D30:F30"/>
    <mergeCell ref="D31:G31"/>
    <mergeCell ref="D32:G32"/>
    <mergeCell ref="D33:F33"/>
    <mergeCell ref="D34:F34"/>
    <mergeCell ref="D19:G19"/>
    <mergeCell ref="D20:G20"/>
    <mergeCell ref="D21:G21"/>
    <mergeCell ref="D25:G25"/>
    <mergeCell ref="D27:G27"/>
    <mergeCell ref="D28:F28"/>
  </mergeCells>
  <conditionalFormatting sqref="G30">
    <cfRule type="cellIs" dxfId="6" priority="1" stopIfTrue="1" operator="notEqual">
      <formula>""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9D6C-6B81-4946-AC21-DAE3131D1658}">
  <dimension ref="A1:L50"/>
  <sheetViews>
    <sheetView topLeftCell="A3" zoomScale="75" zoomScaleNormal="100" workbookViewId="0">
      <selection activeCell="C23" sqref="C23"/>
    </sheetView>
  </sheetViews>
  <sheetFormatPr baseColWidth="10" defaultRowHeight="16" x14ac:dyDescent="0.2"/>
  <cols>
    <col min="1" max="1" width="29.5" customWidth="1"/>
    <col min="2" max="2" width="37.33203125" customWidth="1"/>
    <col min="3" max="3" width="36" customWidth="1"/>
    <col min="6" max="6" width="17.83203125" customWidth="1"/>
    <col min="7" max="7" width="35" customWidth="1"/>
    <col min="8" max="8" width="35.1640625" customWidth="1"/>
  </cols>
  <sheetData>
    <row r="1" spans="1:8" ht="17" thickBot="1" x14ac:dyDescent="0.25">
      <c r="A1" s="98" t="s">
        <v>57</v>
      </c>
      <c r="B1" s="184" t="s">
        <v>107</v>
      </c>
      <c r="C1" s="185" t="s">
        <v>108</v>
      </c>
    </row>
    <row r="2" spans="1:8" x14ac:dyDescent="0.2">
      <c r="A2" s="70">
        <v>1</v>
      </c>
      <c r="B2">
        <v>100</v>
      </c>
      <c r="C2">
        <v>103</v>
      </c>
      <c r="F2" s="52"/>
      <c r="G2" s="52" t="s">
        <v>107</v>
      </c>
      <c r="H2" s="52" t="s">
        <v>108</v>
      </c>
    </row>
    <row r="3" spans="1:8" x14ac:dyDescent="0.2">
      <c r="A3" s="70">
        <v>2</v>
      </c>
      <c r="B3">
        <v>115</v>
      </c>
      <c r="C3">
        <v>112</v>
      </c>
      <c r="F3" s="50"/>
      <c r="G3" s="50"/>
      <c r="H3" s="50"/>
    </row>
    <row r="4" spans="1:8" x14ac:dyDescent="0.2">
      <c r="A4" s="70">
        <v>3</v>
      </c>
      <c r="B4">
        <v>97</v>
      </c>
      <c r="C4">
        <v>100</v>
      </c>
      <c r="F4" s="50" t="s">
        <v>26</v>
      </c>
      <c r="G4" s="50">
        <v>105.26666666666667</v>
      </c>
      <c r="H4" s="50">
        <v>108.06666666666666</v>
      </c>
    </row>
    <row r="5" spans="1:8" x14ac:dyDescent="0.2">
      <c r="A5" s="70">
        <v>4</v>
      </c>
      <c r="B5">
        <v>85</v>
      </c>
      <c r="C5">
        <v>87</v>
      </c>
      <c r="F5" s="50" t="s">
        <v>27</v>
      </c>
      <c r="G5" s="50">
        <v>4.0514155864300303</v>
      </c>
      <c r="H5" s="50">
        <v>4.0325658459084375</v>
      </c>
    </row>
    <row r="6" spans="1:8" x14ac:dyDescent="0.2">
      <c r="A6" s="70">
        <v>5</v>
      </c>
      <c r="B6">
        <v>127</v>
      </c>
      <c r="C6">
        <v>125</v>
      </c>
      <c r="F6" s="50" t="s">
        <v>28</v>
      </c>
      <c r="G6" s="50">
        <v>101</v>
      </c>
      <c r="H6" s="50">
        <v>104</v>
      </c>
    </row>
    <row r="7" spans="1:8" x14ac:dyDescent="0.2">
      <c r="A7" s="70">
        <v>6</v>
      </c>
      <c r="B7">
        <v>133</v>
      </c>
      <c r="C7">
        <v>140</v>
      </c>
      <c r="F7" s="50" t="s">
        <v>29</v>
      </c>
      <c r="G7" s="50" t="e">
        <v>#N/A</v>
      </c>
      <c r="H7" s="50">
        <v>112</v>
      </c>
    </row>
    <row r="8" spans="1:8" x14ac:dyDescent="0.2">
      <c r="A8" s="70">
        <v>7</v>
      </c>
      <c r="B8">
        <v>101</v>
      </c>
      <c r="C8">
        <v>113</v>
      </c>
      <c r="F8" s="50" t="s">
        <v>30</v>
      </c>
      <c r="G8" s="50">
        <v>15.691065094808664</v>
      </c>
      <c r="H8" s="50">
        <v>15.618060363688205</v>
      </c>
    </row>
    <row r="9" spans="1:8" x14ac:dyDescent="0.2">
      <c r="A9" s="70">
        <v>8</v>
      </c>
      <c r="B9">
        <v>122</v>
      </c>
      <c r="C9">
        <v>126</v>
      </c>
      <c r="F9" s="50" t="s">
        <v>31</v>
      </c>
      <c r="G9" s="50">
        <v>246.20952380952284</v>
      </c>
      <c r="H9" s="50">
        <v>243.92380952380856</v>
      </c>
    </row>
    <row r="10" spans="1:8" x14ac:dyDescent="0.2">
      <c r="A10" s="70">
        <v>9</v>
      </c>
      <c r="B10">
        <v>93</v>
      </c>
      <c r="C10">
        <v>98</v>
      </c>
      <c r="F10" s="50" t="s">
        <v>32</v>
      </c>
      <c r="G10" s="50">
        <v>-1.1043594222718753</v>
      </c>
      <c r="H10" s="50">
        <v>-0.38808836178533967</v>
      </c>
    </row>
    <row r="11" spans="1:8" x14ac:dyDescent="0.2">
      <c r="A11" s="70">
        <v>10</v>
      </c>
      <c r="B11">
        <v>125</v>
      </c>
      <c r="C11">
        <v>124</v>
      </c>
      <c r="F11" s="50" t="s">
        <v>33</v>
      </c>
      <c r="G11" s="50">
        <v>0.45671168273204066</v>
      </c>
      <c r="H11" s="50">
        <v>0.44397493398389909</v>
      </c>
    </row>
    <row r="12" spans="1:8" x14ac:dyDescent="0.2">
      <c r="A12" s="70">
        <v>11</v>
      </c>
      <c r="B12">
        <v>86</v>
      </c>
      <c r="C12">
        <v>85</v>
      </c>
      <c r="F12" s="50" t="s">
        <v>34</v>
      </c>
      <c r="G12" s="50">
        <v>48</v>
      </c>
      <c r="H12" s="50">
        <v>55</v>
      </c>
    </row>
    <row r="13" spans="1:8" x14ac:dyDescent="0.2">
      <c r="A13" s="70">
        <v>12</v>
      </c>
      <c r="B13">
        <v>95</v>
      </c>
      <c r="C13">
        <v>97</v>
      </c>
      <c r="F13" s="50" t="s">
        <v>35</v>
      </c>
      <c r="G13" s="50">
        <v>85</v>
      </c>
      <c r="H13" s="50">
        <v>85</v>
      </c>
    </row>
    <row r="14" spans="1:8" x14ac:dyDescent="0.2">
      <c r="A14" s="70">
        <v>13</v>
      </c>
      <c r="B14">
        <v>102</v>
      </c>
      <c r="C14">
        <v>104</v>
      </c>
      <c r="F14" s="50" t="s">
        <v>36</v>
      </c>
      <c r="G14" s="50">
        <v>133</v>
      </c>
      <c r="H14" s="50">
        <v>140</v>
      </c>
    </row>
    <row r="15" spans="1:8" x14ac:dyDescent="0.2">
      <c r="A15" s="70">
        <v>14</v>
      </c>
      <c r="B15">
        <v>89</v>
      </c>
      <c r="C15">
        <v>95</v>
      </c>
      <c r="F15" s="50" t="s">
        <v>37</v>
      </c>
      <c r="G15" s="50">
        <v>1579</v>
      </c>
      <c r="H15" s="50">
        <v>1621</v>
      </c>
    </row>
    <row r="16" spans="1:8" ht="17" thickBot="1" x14ac:dyDescent="0.25">
      <c r="A16" s="70">
        <v>15</v>
      </c>
      <c r="B16">
        <v>109</v>
      </c>
      <c r="C16">
        <v>112</v>
      </c>
      <c r="F16" s="51" t="s">
        <v>38</v>
      </c>
      <c r="G16" s="51">
        <v>15</v>
      </c>
      <c r="H16" s="51">
        <v>15</v>
      </c>
    </row>
    <row r="19" spans="1:9" ht="17" thickBot="1" x14ac:dyDescent="0.25"/>
    <row r="20" spans="1:9" x14ac:dyDescent="0.2">
      <c r="F20" s="41" t="s">
        <v>2</v>
      </c>
      <c r="G20" s="42"/>
      <c r="H20" s="42"/>
      <c r="I20" s="43"/>
    </row>
    <row r="21" spans="1:9" x14ac:dyDescent="0.2">
      <c r="F21" s="44"/>
      <c r="G21" s="45"/>
      <c r="H21" s="45"/>
      <c r="I21" s="46"/>
    </row>
    <row r="22" spans="1:9" x14ac:dyDescent="0.2">
      <c r="F22" s="35" t="s">
        <v>3</v>
      </c>
      <c r="G22" s="36"/>
      <c r="H22" s="36"/>
      <c r="I22" s="37"/>
    </row>
    <row r="23" spans="1:9" x14ac:dyDescent="0.2">
      <c r="F23" s="3" t="s">
        <v>4</v>
      </c>
      <c r="G23" s="4" t="s">
        <v>5</v>
      </c>
      <c r="H23" s="4" t="str">
        <f>IF(H24="&gt;","≤",IF(H24="&lt;","≥","="))</f>
        <v>≥</v>
      </c>
      <c r="I23" s="5">
        <f>I24</f>
        <v>0</v>
      </c>
    </row>
    <row r="24" spans="1:9" x14ac:dyDescent="0.2">
      <c r="F24" s="3" t="s">
        <v>6</v>
      </c>
      <c r="G24" s="4" t="s">
        <v>5</v>
      </c>
      <c r="H24" s="6" t="s">
        <v>45</v>
      </c>
      <c r="I24" s="7">
        <v>0</v>
      </c>
    </row>
    <row r="25" spans="1:9" x14ac:dyDescent="0.2">
      <c r="F25" s="8" t="s">
        <v>8</v>
      </c>
      <c r="G25" s="9"/>
      <c r="H25" s="9"/>
      <c r="I25" s="10" t="str">
        <f>IF(H24="&lt;","Lower",IF(H24="&gt;","Upper","Two"))</f>
        <v>Lower</v>
      </c>
    </row>
    <row r="26" spans="1:9" x14ac:dyDescent="0.2">
      <c r="F26" s="35" t="s">
        <v>9</v>
      </c>
      <c r="G26" s="36"/>
      <c r="H26" s="36"/>
      <c r="I26" s="37"/>
    </row>
    <row r="27" spans="1:9" x14ac:dyDescent="0.2">
      <c r="F27" s="11"/>
      <c r="G27" s="12"/>
      <c r="H27" s="13" t="s">
        <v>10</v>
      </c>
      <c r="I27" s="14">
        <v>0.05</v>
      </c>
    </row>
    <row r="28" spans="1:9" ht="17" thickBot="1" x14ac:dyDescent="0.25">
      <c r="F28" s="35" t="s">
        <v>11</v>
      </c>
      <c r="G28" s="36"/>
      <c r="H28" s="36"/>
      <c r="I28" s="37"/>
    </row>
    <row r="29" spans="1:9" ht="17" thickBot="1" x14ac:dyDescent="0.25">
      <c r="A29" s="133" t="s">
        <v>156</v>
      </c>
      <c r="F29" s="28" t="s">
        <v>12</v>
      </c>
      <c r="G29" s="29"/>
      <c r="H29" s="29"/>
      <c r="I29" s="15">
        <f>I36+I40-2</f>
        <v>28</v>
      </c>
    </row>
    <row r="30" spans="1:9" x14ac:dyDescent="0.2">
      <c r="A30" s="137"/>
      <c r="B30" s="144"/>
      <c r="C30" s="144"/>
      <c r="D30" s="145"/>
      <c r="F30" s="28" t="str">
        <f>IF(H23="=","Lower Critical Value","Critical Value")</f>
        <v>Critical Value</v>
      </c>
      <c r="G30" s="29"/>
      <c r="H30" s="29"/>
      <c r="I30" s="16">
        <f>IF(I25="Two",-(TINV(I27,I29)),IF(I25="Lower",-(TINV(I27*2,I29)),TINV(I27*2,I29)))</f>
        <v>-1.7011309342659326</v>
      </c>
    </row>
    <row r="31" spans="1:9" x14ac:dyDescent="0.2">
      <c r="A31" s="138" t="s">
        <v>151</v>
      </c>
      <c r="B31" s="53"/>
      <c r="C31" s="53"/>
      <c r="D31" s="141"/>
      <c r="F31" s="25" t="str">
        <f>IF(H23="=","Upper Critical Value","")</f>
        <v/>
      </c>
      <c r="G31" s="26"/>
      <c r="H31" s="27"/>
      <c r="I31" s="17" t="str">
        <f>IF(H23="=",-I30,"")</f>
        <v/>
      </c>
    </row>
    <row r="32" spans="1:9" x14ac:dyDescent="0.2">
      <c r="A32" t="s">
        <v>177</v>
      </c>
      <c r="B32" s="53"/>
      <c r="C32" s="53"/>
      <c r="D32" s="141"/>
      <c r="F32" s="35" t="s">
        <v>13</v>
      </c>
      <c r="G32" s="36"/>
      <c r="H32" s="36"/>
      <c r="I32" s="37"/>
    </row>
    <row r="33" spans="1:9" x14ac:dyDescent="0.2">
      <c r="A33" s="137" t="s">
        <v>152</v>
      </c>
      <c r="B33" s="53"/>
      <c r="C33" s="53"/>
      <c r="D33" s="141"/>
      <c r="F33" s="38" t="s">
        <v>14</v>
      </c>
      <c r="G33" s="39"/>
      <c r="H33" s="39"/>
      <c r="I33" s="40"/>
    </row>
    <row r="34" spans="1:9" x14ac:dyDescent="0.2">
      <c r="A34" s="139"/>
      <c r="B34" s="140"/>
      <c r="C34" s="140"/>
      <c r="D34" s="142"/>
      <c r="F34" s="25" t="s">
        <v>15</v>
      </c>
      <c r="G34" s="26"/>
      <c r="H34" s="27"/>
      <c r="I34" s="7">
        <v>15.69106509</v>
      </c>
    </row>
    <row r="35" spans="1:9" x14ac:dyDescent="0.2">
      <c r="A35" s="143"/>
      <c r="D35" s="145"/>
      <c r="F35" s="25" t="s">
        <v>16</v>
      </c>
      <c r="G35" s="26"/>
      <c r="H35" s="27"/>
      <c r="I35" s="7">
        <v>105.2666667</v>
      </c>
    </row>
    <row r="36" spans="1:9" x14ac:dyDescent="0.2">
      <c r="A36" s="138" t="s">
        <v>153</v>
      </c>
      <c r="D36" s="141"/>
      <c r="F36" s="25" t="s">
        <v>17</v>
      </c>
      <c r="G36" s="26"/>
      <c r="H36" s="27"/>
      <c r="I36" s="7">
        <v>15</v>
      </c>
    </row>
    <row r="37" spans="1:9" x14ac:dyDescent="0.2">
      <c r="A37" t="s">
        <v>178</v>
      </c>
      <c r="D37" s="141"/>
      <c r="F37" s="38" t="s">
        <v>18</v>
      </c>
      <c r="G37" s="39"/>
      <c r="H37" s="39"/>
      <c r="I37" s="40"/>
    </row>
    <row r="38" spans="1:9" x14ac:dyDescent="0.2">
      <c r="A38" s="137" t="s">
        <v>179</v>
      </c>
      <c r="D38" s="141"/>
      <c r="F38" s="25" t="s">
        <v>15</v>
      </c>
      <c r="G38" s="26"/>
      <c r="H38" s="27"/>
      <c r="I38" s="7">
        <v>15.618060359999999</v>
      </c>
    </row>
    <row r="39" spans="1:9" x14ac:dyDescent="0.2">
      <c r="A39" s="139"/>
      <c r="B39" s="140"/>
      <c r="C39" s="140"/>
      <c r="D39" s="142"/>
      <c r="F39" s="25" t="s">
        <v>16</v>
      </c>
      <c r="G39" s="26"/>
      <c r="H39" s="27"/>
      <c r="I39" s="7">
        <v>108.0666667</v>
      </c>
    </row>
    <row r="40" spans="1:9" x14ac:dyDescent="0.2">
      <c r="F40" s="25" t="s">
        <v>17</v>
      </c>
      <c r="G40" s="26"/>
      <c r="H40" s="27"/>
      <c r="I40" s="7">
        <v>15</v>
      </c>
    </row>
    <row r="41" spans="1:9" x14ac:dyDescent="0.2">
      <c r="A41" t="s">
        <v>155</v>
      </c>
      <c r="F41" s="32"/>
      <c r="G41" s="33"/>
      <c r="H41" s="33"/>
      <c r="I41" s="34"/>
    </row>
    <row r="42" spans="1:9" x14ac:dyDescent="0.2">
      <c r="F42" s="25" t="s">
        <v>19</v>
      </c>
      <c r="G42" s="26"/>
      <c r="H42" s="27"/>
      <c r="I42" s="18">
        <f>((I36-1)*I34^2+(I40-1)*I38^2)/I29</f>
        <v>245.06666653361</v>
      </c>
    </row>
    <row r="43" spans="1:9" x14ac:dyDescent="0.2">
      <c r="F43" s="28" t="s">
        <v>20</v>
      </c>
      <c r="G43" s="29"/>
      <c r="H43" s="29"/>
      <c r="I43" s="17">
        <f>SQRT(I42*(1/I36+1/I40))</f>
        <v>5.7162536278418115</v>
      </c>
    </row>
    <row r="44" spans="1:9" x14ac:dyDescent="0.2">
      <c r="F44" s="30" t="s">
        <v>21</v>
      </c>
      <c r="G44" s="31"/>
      <c r="H44" s="31"/>
      <c r="I44" s="19">
        <f>((I35-I39)-I23)/I43</f>
        <v>-0.48983130950701803</v>
      </c>
    </row>
    <row r="45" spans="1:9" x14ac:dyDescent="0.2">
      <c r="F45" s="28" t="s">
        <v>22</v>
      </c>
      <c r="G45" s="29"/>
      <c r="H45" s="29"/>
      <c r="I45" s="19">
        <f>IF(H23="=",TDIST(ABS(I44),I29,2),IF(I44*I30&gt;0,TDIST(ABS(I44),I29,1),1-TDIST(ABS(I44),I29,1)))</f>
        <v>0.3140346527848869</v>
      </c>
    </row>
    <row r="46" spans="1:9" x14ac:dyDescent="0.2">
      <c r="F46" s="32"/>
      <c r="G46" s="33"/>
      <c r="H46" s="33"/>
      <c r="I46" s="34"/>
    </row>
    <row r="47" spans="1:9" x14ac:dyDescent="0.2">
      <c r="F47" s="35" t="s">
        <v>23</v>
      </c>
      <c r="G47" s="36"/>
      <c r="H47" s="36"/>
      <c r="I47" s="37"/>
    </row>
    <row r="48" spans="1:9" ht="17" thickBot="1" x14ac:dyDescent="0.25">
      <c r="F48" s="22" t="str">
        <f>IF(I45&lt;I27,"Reject Null Hypothesis", "Fail to reject Null Hypothesis")</f>
        <v>Fail to reject Null Hypothesis</v>
      </c>
      <c r="G48" s="23"/>
      <c r="H48" s="23"/>
      <c r="I48" s="24"/>
    </row>
    <row r="49" spans="5:12" ht="17" thickBot="1" x14ac:dyDescent="0.25"/>
    <row r="50" spans="5:12" ht="17" thickBot="1" x14ac:dyDescent="0.25">
      <c r="E50" s="134" t="s">
        <v>180</v>
      </c>
      <c r="F50" s="135"/>
      <c r="G50" s="135"/>
      <c r="H50" s="135"/>
      <c r="I50" s="135"/>
      <c r="J50" s="135"/>
      <c r="K50" s="135"/>
      <c r="L50" s="136"/>
    </row>
  </sheetData>
  <mergeCells count="25">
    <mergeCell ref="F20:I20"/>
    <mergeCell ref="F21:I21"/>
    <mergeCell ref="F22:I22"/>
    <mergeCell ref="F26:I26"/>
    <mergeCell ref="F28:I28"/>
    <mergeCell ref="F29:H29"/>
    <mergeCell ref="F30:H30"/>
    <mergeCell ref="F31:H31"/>
    <mergeCell ref="F32:I32"/>
    <mergeCell ref="F33:I33"/>
    <mergeCell ref="F34:H34"/>
    <mergeCell ref="F35:H35"/>
    <mergeCell ref="F36:H36"/>
    <mergeCell ref="F37:I37"/>
    <mergeCell ref="F38:H38"/>
    <mergeCell ref="F39:H39"/>
    <mergeCell ref="F40:H40"/>
    <mergeCell ref="F41:I41"/>
    <mergeCell ref="F48:I48"/>
    <mergeCell ref="F42:H42"/>
    <mergeCell ref="F43:H43"/>
    <mergeCell ref="F44:H44"/>
    <mergeCell ref="F45:H45"/>
    <mergeCell ref="F46:I46"/>
    <mergeCell ref="F47:I47"/>
  </mergeCells>
  <conditionalFormatting sqref="I31">
    <cfRule type="cellIs" dxfId="5" priority="1" stopIfTrue="1" operator="notEqual">
      <formula>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1.1</vt:lpstr>
      <vt:lpstr>1.2</vt:lpstr>
      <vt:lpstr>1.3</vt:lpstr>
      <vt:lpstr>1.4</vt:lpstr>
      <vt:lpstr>2.1</vt:lpstr>
      <vt:lpstr>2.2</vt:lpstr>
      <vt:lpstr>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 Sachdeva</dc:creator>
  <cp:lastModifiedBy>Himanshi Sachdeva</cp:lastModifiedBy>
  <dcterms:created xsi:type="dcterms:W3CDTF">2025-04-12T09:02:36Z</dcterms:created>
  <dcterms:modified xsi:type="dcterms:W3CDTF">2025-04-13T07:22:26Z</dcterms:modified>
</cp:coreProperties>
</file>